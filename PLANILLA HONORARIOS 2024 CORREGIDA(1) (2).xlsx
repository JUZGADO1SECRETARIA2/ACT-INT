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ORARIOS" sheetId="1" r:id="rId4"/>
    <sheet state="visible" name="PARAMETROS" sheetId="2" r:id="rId5"/>
    <sheet state="visible" name="UMAS HISTORICAS" sheetId="3" r:id="rId6"/>
  </sheets>
  <definedNames>
    <definedName name="RangoNombre1">HONORARIOS!$B$5:$H$19</definedName>
  </definedNames>
  <calcPr/>
  <extLst>
    <ext uri="GoogleSheetsCustomDataVersion2">
      <go:sheetsCustomData xmlns:go="http://customooxmlschemas.google.com/" r:id="rId7" roundtripDataChecksum="07ErN+ufVtQP/vMWsFdyQ6k2ni4E83QADsVFkZ6mZZ8="/>
    </ext>
  </extLst>
</workbook>
</file>

<file path=xl/sharedStrings.xml><?xml version="1.0" encoding="utf-8"?>
<sst xmlns="http://schemas.openxmlformats.org/spreadsheetml/2006/main" count="137" uniqueCount="105">
  <si>
    <t>Comisión de Seguridad Social - Asociación de Abogados de Buenos Aires</t>
  </si>
  <si>
    <t>Excepciones?</t>
  </si>
  <si>
    <t>Ley 27.423</t>
  </si>
  <si>
    <t>(procesos o etapas iniciados a partir de 22-Dic-2017)</t>
  </si>
  <si>
    <t>UMA AL CORTE CORTE</t>
  </si>
  <si>
    <t>COMPLETAR</t>
  </si>
  <si>
    <t>UMAs del Monto Base</t>
  </si>
  <si>
    <t>Grado de la escala art. 21</t>
  </si>
  <si>
    <t>UMA ACTUAL</t>
  </si>
  <si>
    <t>RETROACTIVO APROBADO:</t>
  </si>
  <si>
    <t>FECHA DE CORTE DE LIQUIDACION</t>
  </si>
  <si>
    <r>
      <rPr>
        <rFont val="Calibri"/>
        <b/>
        <i/>
        <color theme="1"/>
        <sz val="14.0"/>
        <u/>
      </rPr>
      <t>Conocimiento</t>
    </r>
    <r>
      <rPr>
        <rFont val="Calibri"/>
        <b/>
        <i/>
        <color rgb="FF000000"/>
        <sz val="14.0"/>
        <u/>
      </rPr>
      <t xml:space="preserve"> (art. 21)</t>
    </r>
  </si>
  <si>
    <t>FECHA DE REGULACION</t>
  </si>
  <si>
    <t>30/0</t>
  </si>
  <si>
    <t>UMAs</t>
  </si>
  <si>
    <t xml:space="preserve"> TOTAL CON UMA ACTUAL</t>
  </si>
  <si>
    <t>RESULTADOS HONORARIOS EJECUCION</t>
  </si>
  <si>
    <r>
      <rPr>
        <rFont val="Calibri"/>
        <b/>
        <i/>
        <color theme="1"/>
        <sz val="14.0"/>
        <u/>
      </rPr>
      <t>Ejecución</t>
    </r>
    <r>
      <rPr>
        <rFont val="Calibri"/>
        <b/>
        <i/>
        <color rgb="FF000000"/>
        <sz val="14.0"/>
        <u/>
      </rPr>
      <t xml:space="preserve"> (art. 41)</t>
    </r>
  </si>
  <si>
    <t>UMAS</t>
  </si>
  <si>
    <t>PESOS</t>
  </si>
  <si>
    <t>PRIMERA ETAPA:</t>
  </si>
  <si>
    <t>CON UMA ACTUAL:</t>
  </si>
  <si>
    <t xml:space="preserve">1RA LIQUIDACION (AMBAS ETAPAS) </t>
  </si>
  <si>
    <t>SEGUNDA ETAPA (40%):</t>
  </si>
  <si>
    <t>ACTUALIZADA (Fallo Finn):</t>
  </si>
  <si>
    <t>LIQUIDACION DE PERITOS (70%):</t>
  </si>
  <si>
    <t>Desde</t>
  </si>
  <si>
    <t>Hasta</t>
  </si>
  <si>
    <t>Valor UMA</t>
  </si>
  <si>
    <t>Acordada</t>
  </si>
  <si>
    <t>Mínimo</t>
  </si>
  <si>
    <t>Máximo</t>
  </si>
  <si>
    <t>Maxímo límite anterior</t>
  </si>
  <si>
    <t>Grado</t>
  </si>
  <si>
    <t>27/2018</t>
  </si>
  <si>
    <t>1º</t>
  </si>
  <si>
    <t>2º</t>
  </si>
  <si>
    <t>3º</t>
  </si>
  <si>
    <t>4º</t>
  </si>
  <si>
    <t>3/2019</t>
  </si>
  <si>
    <t>5º</t>
  </si>
  <si>
    <t>8/2019</t>
  </si>
  <si>
    <t>6º</t>
  </si>
  <si>
    <t>20/2019</t>
  </si>
  <si>
    <t>7º</t>
  </si>
  <si>
    <t>28/2019</t>
  </si>
  <si>
    <t>30/2019</t>
  </si>
  <si>
    <t>2/2020</t>
  </si>
  <si>
    <t>36/2020</t>
  </si>
  <si>
    <t xml:space="preserve"> 1/2021</t>
  </si>
  <si>
    <t xml:space="preserve"> 7/2021</t>
  </si>
  <si>
    <t xml:space="preserve"> 12/2021</t>
  </si>
  <si>
    <t xml:space="preserve"> 20/2021</t>
  </si>
  <si>
    <t xml:space="preserve"> 28/2021</t>
  </si>
  <si>
    <t>4/2022</t>
  </si>
  <si>
    <t>12/2022</t>
  </si>
  <si>
    <t>25,,2022</t>
  </si>
  <si>
    <t>3//2023</t>
  </si>
  <si>
    <t>9//2023</t>
  </si>
  <si>
    <t>19//2023</t>
  </si>
  <si>
    <t>29//2023</t>
  </si>
  <si>
    <t>2722/2023</t>
  </si>
  <si>
    <t>3369/2023</t>
  </si>
  <si>
    <t>3370/2024</t>
  </si>
  <si>
    <t>04//2024</t>
  </si>
  <si>
    <t>626/2024</t>
  </si>
  <si>
    <t>925/2024</t>
  </si>
  <si>
    <t>1497/2024</t>
  </si>
  <si>
    <t>1772/2024</t>
  </si>
  <si>
    <t>2375/2024</t>
  </si>
  <si>
    <t>2910/2024</t>
  </si>
  <si>
    <t>3495/2024</t>
  </si>
  <si>
    <t>237/2025</t>
  </si>
  <si>
    <t>580/2025i</t>
  </si>
  <si>
    <t>936/2025</t>
  </si>
  <si>
    <t>1236/2025</t>
  </si>
  <si>
    <t>1432/2025</t>
  </si>
  <si>
    <t>1687/2025</t>
  </si>
  <si>
    <t>1860/2025</t>
  </si>
  <si>
    <t>2226/2025</t>
  </si>
  <si>
    <t>2533/2025</t>
  </si>
  <si>
    <t>2996/2025</t>
  </si>
  <si>
    <t>3160/2025</t>
  </si>
  <si>
    <t>36/2026</t>
  </si>
  <si>
    <t>235/2026</t>
  </si>
  <si>
    <t>538/2026</t>
  </si>
  <si>
    <t xml:space="preserve"> </t>
  </si>
  <si>
    <t>UMA: UNIDAD DE MEDIDA ARANCELARIA</t>
  </si>
  <si>
    <t>ACORDADA/RESOLU</t>
  </si>
  <si>
    <t>FECHA</t>
  </si>
  <si>
    <t>MONTO</t>
  </si>
  <si>
    <t>VIGENCIA</t>
  </si>
  <si>
    <t>PERÍODO</t>
  </si>
  <si>
    <t>27/2018 (2)</t>
  </si>
  <si>
    <t>21/2021</t>
  </si>
  <si>
    <t>28/2021</t>
  </si>
  <si>
    <t>25/2022</t>
  </si>
  <si>
    <t>19/2023</t>
  </si>
  <si>
    <t>29/2023</t>
  </si>
  <si>
    <t>Res2722/23</t>
  </si>
  <si>
    <t>Res 2722/23</t>
  </si>
  <si>
    <t>Res 3369/23</t>
  </si>
  <si>
    <t>Res 12/24</t>
  </si>
  <si>
    <t>Res 176/24</t>
  </si>
  <si>
    <t>Res 626/24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</si>
</sst>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\ #,##0"/>
    <numFmt numFmtId="165" formatCode="#,##0.0000_ ;[Red]\-#,##0.0000\ "/>
    <numFmt numFmtId="166" formatCode="dd/mm"/>
    <numFmt numFmtId="167" formatCode="d/m/yyyy"/>
    <numFmt numFmtId="168" formatCode="0.0%"/>
    <numFmt numFmtId="169" formatCode="_-&quot;$&quot;\ * #,##0.00_-;\-&quot;$&quot;\ * #,##0.00_-;_-&quot;$&quot;\ * &quot;-&quot;??_-;_-@"/>
    <numFmt numFmtId="170" formatCode="#,##0.00_ ;[Red]\-#,##0.00\ "/>
    <numFmt numFmtId="171" formatCode="0.0"/>
    <numFmt numFmtId="172" formatCode="&quot;$&quot;#,##0"/>
    <numFmt numFmtId="173" formatCode="dd/mm/yyyy"/>
    <numFmt numFmtId="174" formatCode="d/M/yyyy"/>
    <numFmt numFmtId="175" formatCode="&quot;$&quot;#,##0.00"/>
    <numFmt numFmtId="176" formatCode="m/yyyy"/>
    <numFmt numFmtId="177" formatCode="d/m/yy"/>
    <numFmt numFmtId="178" formatCode="&quot;$&quot;\ #,##0.00;[Red]\-&quot;$&quot;\ #,##0.00"/>
  </numFmts>
  <fonts count="33">
    <font>
      <sz val="11.0"/>
      <color theme="1"/>
      <name val="Calibri"/>
      <scheme val="minor"/>
    </font>
    <font>
      <color theme="1"/>
      <name val="Calibri"/>
      <scheme val="minor"/>
    </font>
    <font>
      <b/>
      <sz val="24.0"/>
      <color theme="0"/>
      <name val="Arial"/>
    </font>
    <font>
      <sz val="11.0"/>
      <color theme="1"/>
      <name val="Calibri"/>
    </font>
    <font>
      <i/>
      <sz val="14.0"/>
      <color theme="0"/>
      <name val="Arial"/>
    </font>
    <font/>
    <font>
      <sz val="14.0"/>
      <color theme="0"/>
      <name val="Arial"/>
    </font>
    <font>
      <b/>
      <sz val="14.0"/>
      <color theme="1"/>
      <name val="Calibri"/>
    </font>
    <font>
      <b/>
      <sz val="16.0"/>
      <color theme="1"/>
      <name val="Calibri"/>
    </font>
    <font>
      <b/>
      <i/>
      <sz val="14.0"/>
      <color theme="1"/>
      <name val="Calibri"/>
    </font>
    <font>
      <b/>
      <sz val="22.0"/>
      <color theme="1"/>
      <name val="Calibri"/>
    </font>
    <font>
      <sz val="22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i/>
      <u/>
      <sz val="14.0"/>
      <color theme="1"/>
      <name val="Calibri"/>
    </font>
    <font>
      <sz val="12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u/>
      <sz val="18.0"/>
      <color theme="1"/>
      <name val="Calibri"/>
    </font>
    <font>
      <u/>
      <sz val="18.0"/>
      <color theme="1"/>
      <name val="Calibri"/>
    </font>
    <font>
      <u/>
      <sz val="11.0"/>
      <color theme="1"/>
      <name val="Calibri"/>
    </font>
    <font>
      <b/>
      <i/>
      <u/>
      <sz val="14.0"/>
      <color theme="1"/>
      <name val="Calibri"/>
    </font>
    <font>
      <sz val="10.0"/>
      <color theme="1"/>
      <name val="Calibri"/>
    </font>
    <font>
      <b/>
      <sz val="13.0"/>
      <color theme="1"/>
      <name val="Calibri"/>
      <scheme val="minor"/>
    </font>
    <font>
      <b/>
      <sz val="13.0"/>
      <color theme="1"/>
      <name val="Calibri"/>
    </font>
    <font>
      <i/>
      <u/>
      <sz val="11.0"/>
      <color theme="1"/>
      <name val="Calibri"/>
    </font>
    <font>
      <sz val="8.0"/>
      <color rgb="FF000000"/>
      <name val="Arial"/>
    </font>
    <font>
      <sz val="11.0"/>
      <color rgb="FF000000"/>
      <name val="Verdana"/>
    </font>
    <font>
      <sz val="11.0"/>
      <color theme="10"/>
      <name val="Calibri"/>
    </font>
    <font>
      <b/>
      <sz val="12.0"/>
      <color rgb="FF333333"/>
      <name val="Quattrocento Sans"/>
    </font>
    <font>
      <sz val="12.0"/>
      <color rgb="FF333333"/>
      <name val="Quattrocento Sans"/>
    </font>
    <font>
      <u/>
      <sz val="11.0"/>
      <color theme="10"/>
      <name val="Calibri"/>
    </font>
    <font>
      <u/>
      <sz val="11.0"/>
      <color theme="1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theme="7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BD4B4"/>
        <bgColor rgb="FFFBD4B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FFCC99"/>
        <bgColor rgb="FFFFCC99"/>
      </patternFill>
    </fill>
  </fills>
  <borders count="55">
    <border/>
    <border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readingOrder="0"/>
    </xf>
    <xf borderId="1" fillId="3" fontId="2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1" fillId="0" fontId="5" numFmtId="0" xfId="0" applyBorder="1" applyFont="1"/>
    <xf borderId="2" fillId="0" fontId="5" numFmtId="0" xfId="0" applyBorder="1" applyFont="1"/>
    <xf borderId="3" fillId="3" fontId="6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6" fillId="0" fontId="5" numFmtId="0" xfId="0" applyBorder="1" applyFont="1"/>
    <xf borderId="7" fillId="2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0" fontId="5" numFmtId="0" xfId="0" applyBorder="1" applyFont="1"/>
    <xf borderId="3" fillId="5" fontId="7" numFmtId="0" xfId="0" applyAlignment="1" applyBorder="1" applyFill="1" applyFont="1">
      <alignment horizontal="center" readingOrder="0" shrinkToFit="0" vertical="center" wrapText="0"/>
    </xf>
    <xf borderId="4" fillId="2" fontId="3" numFmtId="0" xfId="0" applyAlignment="1" applyBorder="1" applyFont="1">
      <alignment shrinkToFit="0" vertical="center" wrapText="0"/>
    </xf>
    <xf borderId="0" fillId="4" fontId="3" numFmtId="0" xfId="0" applyAlignment="1" applyFont="1">
      <alignment readingOrder="0" shrinkToFit="0" vertical="center" wrapText="0"/>
    </xf>
    <xf borderId="5" fillId="6" fontId="8" numFmtId="0" xfId="0" applyAlignment="1" applyBorder="1" applyFill="1" applyFont="1">
      <alignment horizontal="center" shrinkToFit="0" vertical="center" wrapText="0"/>
    </xf>
    <xf borderId="10" fillId="0" fontId="5" numFmtId="0" xfId="0" applyBorder="1" applyFont="1"/>
    <xf borderId="11" fillId="0" fontId="5" numFmtId="0" xfId="0" applyBorder="1" applyFont="1"/>
    <xf borderId="3" fillId="3" fontId="3" numFmtId="0" xfId="0" applyAlignment="1" applyBorder="1" applyFont="1">
      <alignment shrinkToFit="0" vertical="bottom" wrapText="0"/>
    </xf>
    <xf borderId="3" fillId="5" fontId="3" numFmtId="0" xfId="0" applyAlignment="1" applyBorder="1" applyFont="1">
      <alignment readingOrder="0" shrinkToFit="0" vertical="center" wrapText="0"/>
    </xf>
    <xf borderId="12" fillId="6" fontId="9" numFmtId="0" xfId="0" applyAlignment="1" applyBorder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15" fillId="7" fontId="3" numFmtId="0" xfId="0" applyAlignment="1" applyBorder="1" applyFill="1" applyFont="1">
      <alignment shrinkToFit="0" vertical="center" wrapText="0"/>
    </xf>
    <xf borderId="16" fillId="7" fontId="3" numFmtId="164" xfId="0" applyAlignment="1" applyBorder="1" applyFont="1" applyNumberFormat="1">
      <alignment shrinkToFit="0" vertical="center" wrapText="0"/>
    </xf>
    <xf borderId="8" fillId="7" fontId="3" numFmtId="0" xfId="0" applyAlignment="1" applyBorder="1" applyFont="1">
      <alignment horizontal="center" shrinkToFit="0" vertical="center" wrapText="0"/>
    </xf>
    <xf borderId="17" fillId="0" fontId="5" numFmtId="0" xfId="0" applyBorder="1" applyFont="1"/>
    <xf borderId="3" fillId="8" fontId="10" numFmtId="0" xfId="0" applyAlignment="1" applyBorder="1" applyFill="1" applyFont="1">
      <alignment horizontal="left" shrinkToFit="0" vertical="bottom" wrapText="0"/>
    </xf>
    <xf borderId="3" fillId="8" fontId="11" numFmtId="0" xfId="0" applyAlignment="1" applyBorder="1" applyFont="1">
      <alignment horizontal="left" shrinkToFit="0" vertical="center" wrapText="0"/>
    </xf>
    <xf borderId="18" fillId="7" fontId="3" numFmtId="0" xfId="0" applyAlignment="1" applyBorder="1" applyFont="1">
      <alignment shrinkToFit="0" vertical="center" wrapText="0"/>
    </xf>
    <xf borderId="19" fillId="7" fontId="3" numFmtId="165" xfId="0" applyAlignment="1" applyBorder="1" applyFont="1" applyNumberFormat="1">
      <alignment shrinkToFit="0" vertical="center" wrapText="0"/>
    </xf>
    <xf borderId="20" fillId="0" fontId="5" numFmtId="0" xfId="0" applyBorder="1" applyFont="1"/>
    <xf borderId="21" fillId="7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shrinkToFit="0" vertical="bottom" wrapText="0"/>
    </xf>
    <xf borderId="3" fillId="8" fontId="3" numFmtId="0" xfId="0" applyAlignment="1" applyBorder="1" applyFont="1">
      <alignment shrinkToFit="0" vertical="center" wrapText="0"/>
    </xf>
    <xf borderId="3" fillId="3" fontId="3" numFmtId="166" xfId="0" applyAlignment="1" applyBorder="1" applyFont="1" applyNumberFormat="1">
      <alignment readingOrder="0" shrinkToFit="0" vertical="center" wrapText="0"/>
    </xf>
    <xf borderId="3" fillId="7" fontId="3" numFmtId="0" xfId="0" applyAlignment="1" applyBorder="1" applyFont="1">
      <alignment shrinkToFit="0" vertical="bottom" wrapText="0"/>
    </xf>
    <xf borderId="0" fillId="7" fontId="12" numFmtId="3" xfId="0" applyAlignment="1" applyFont="1" applyNumberFormat="1">
      <alignment horizontal="right" readingOrder="0" shrinkToFit="0" vertical="bottom" wrapText="0"/>
    </xf>
    <xf borderId="3" fillId="9" fontId="13" numFmtId="0" xfId="0" applyAlignment="1" applyBorder="1" applyFill="1" applyFont="1">
      <alignment horizontal="left" shrinkToFit="0" vertical="center" wrapText="0"/>
    </xf>
    <xf borderId="0" fillId="0" fontId="1" numFmtId="4" xfId="0" applyAlignment="1" applyFont="1" applyNumberFormat="1">
      <alignment readingOrder="0"/>
    </xf>
    <xf borderId="3" fillId="3" fontId="3" numFmtId="167" xfId="0" applyAlignment="1" applyBorder="1" applyFont="1" applyNumberFormat="1">
      <alignment readingOrder="0" shrinkToFit="0" vertical="bottom" wrapText="0"/>
    </xf>
    <xf borderId="4" fillId="3" fontId="3" numFmtId="0" xfId="0" applyAlignment="1" applyBorder="1" applyFont="1">
      <alignment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3" fillId="10" fontId="13" numFmtId="0" xfId="0" applyAlignment="1" applyBorder="1" applyFill="1" applyFont="1">
      <alignment horizontal="left" readingOrder="0" shrinkToFit="0" vertical="center" wrapText="0"/>
    </xf>
    <xf borderId="0" fillId="0" fontId="1" numFmtId="167" xfId="0" applyAlignment="1" applyFont="1" applyNumberFormat="1">
      <alignment readingOrder="0"/>
    </xf>
    <xf borderId="5" fillId="11" fontId="14" numFmtId="0" xfId="0" applyAlignment="1" applyBorder="1" applyFill="1" applyFont="1">
      <alignment horizontal="center" shrinkToFit="0" vertical="center" wrapText="0"/>
    </xf>
    <xf borderId="3" fillId="12" fontId="13" numFmtId="0" xfId="0" applyAlignment="1" applyBorder="1" applyFill="1" applyFont="1">
      <alignment horizontal="left" readingOrder="0" shrinkToFit="0" vertical="center" wrapText="0"/>
    </xf>
    <xf borderId="3" fillId="12" fontId="15" numFmtId="167" xfId="0" applyAlignment="1" applyBorder="1" applyFont="1" applyNumberFormat="1">
      <alignment readingOrder="0" shrinkToFit="0" vertical="bottom" wrapText="0"/>
    </xf>
    <xf borderId="15" fillId="0" fontId="3" numFmtId="0" xfId="0" applyAlignment="1" applyBorder="1" applyFont="1">
      <alignment shrinkToFit="0" vertical="center" wrapText="0"/>
    </xf>
    <xf borderId="22" fillId="0" fontId="3" numFmtId="168" xfId="0" applyAlignment="1" applyBorder="1" applyFont="1" applyNumberFormat="1">
      <alignment horizontal="center" shrinkToFit="0" vertical="center" wrapText="0"/>
    </xf>
    <xf borderId="16" fillId="0" fontId="3" numFmtId="169" xfId="0" applyAlignment="1" applyBorder="1" applyFont="1" applyNumberFormat="1">
      <alignment shrinkToFit="0" vertical="center" wrapText="0"/>
    </xf>
    <xf borderId="15" fillId="0" fontId="3" numFmtId="2" xfId="0" applyAlignment="1" applyBorder="1" applyFont="1" applyNumberFormat="1">
      <alignment horizontal="center" shrinkToFit="0" vertical="center" wrapText="0"/>
    </xf>
    <xf borderId="16" fillId="0" fontId="3" numFmtId="0" xfId="0" applyAlignment="1" applyBorder="1" applyFont="1">
      <alignment shrinkToFit="0" vertical="center" wrapText="0"/>
    </xf>
    <xf borderId="23" fillId="3" fontId="15" numFmtId="0" xfId="0" applyAlignment="1" applyBorder="1" applyFont="1">
      <alignment horizontal="center" shrinkToFit="0" vertical="center" wrapText="0"/>
    </xf>
    <xf borderId="3" fillId="3" fontId="15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0" fillId="4" fontId="3" numFmtId="167" xfId="0" applyAlignment="1" applyFont="1" applyNumberFormat="1">
      <alignment readingOrder="0" shrinkToFit="0" vertical="center" wrapText="0"/>
    </xf>
    <xf borderId="18" fillId="0" fontId="3" numFmtId="0" xfId="0" applyAlignment="1" applyBorder="1" applyFont="1">
      <alignment shrinkToFit="0" vertical="center" wrapText="0"/>
    </xf>
    <xf borderId="24" fillId="0" fontId="3" numFmtId="168" xfId="0" applyAlignment="1" applyBorder="1" applyFont="1" applyNumberFormat="1">
      <alignment horizontal="center" shrinkToFit="0" vertical="center" wrapText="0"/>
    </xf>
    <xf borderId="19" fillId="0" fontId="3" numFmtId="169" xfId="0" applyAlignment="1" applyBorder="1" applyFont="1" applyNumberFormat="1">
      <alignment shrinkToFit="0" vertical="center" wrapText="0"/>
    </xf>
    <xf borderId="18" fillId="0" fontId="3" numFmtId="2" xfId="0" applyAlignment="1" applyBorder="1" applyFont="1" applyNumberFormat="1">
      <alignment horizontal="center" shrinkToFit="0" vertical="center" wrapText="0"/>
    </xf>
    <xf borderId="19" fillId="0" fontId="3" numFmtId="0" xfId="0" applyAlignment="1" applyBorder="1" applyFont="1">
      <alignment shrinkToFit="0" vertical="center" wrapText="0"/>
    </xf>
    <xf borderId="25" fillId="0" fontId="5" numFmtId="0" xfId="0" applyBorder="1" applyFont="1"/>
    <xf borderId="8" fillId="6" fontId="16" numFmtId="0" xfId="0" applyAlignment="1" applyBorder="1" applyFont="1">
      <alignment horizontal="center" readingOrder="0" shrinkToFit="0" vertical="center" wrapText="0"/>
    </xf>
    <xf borderId="26" fillId="6" fontId="17" numFmtId="170" xfId="0" applyAlignment="1" applyBorder="1" applyFont="1" applyNumberFormat="1">
      <alignment shrinkToFit="0" vertical="center" wrapText="0"/>
    </xf>
    <xf borderId="27" fillId="6" fontId="17" numFmtId="170" xfId="0" applyAlignment="1" applyBorder="1" applyFont="1" applyNumberFormat="1">
      <alignment shrinkToFit="0" vertical="center" wrapText="0"/>
    </xf>
    <xf borderId="28" fillId="6" fontId="17" numFmtId="0" xfId="0" applyAlignment="1" applyBorder="1" applyFont="1">
      <alignment shrinkToFit="0" vertical="center" wrapText="0"/>
    </xf>
    <xf borderId="29" fillId="0" fontId="5" numFmtId="0" xfId="0" applyBorder="1" applyFont="1"/>
    <xf borderId="3" fillId="3" fontId="3" numFmtId="4" xfId="0" applyAlignment="1" applyBorder="1" applyFont="1" applyNumberFormat="1">
      <alignment readingOrder="0" shrinkToFit="0" vertical="center" wrapText="0"/>
    </xf>
    <xf borderId="3" fillId="13" fontId="18" numFmtId="0" xfId="0" applyAlignment="1" applyBorder="1" applyFill="1" applyFont="1">
      <alignment horizontal="left" readingOrder="0" shrinkToFit="0" vertical="center" wrapText="0"/>
    </xf>
    <xf borderId="3" fillId="13" fontId="19" numFmtId="0" xfId="0" applyAlignment="1" applyBorder="1" applyFont="1">
      <alignment shrinkToFit="0" vertical="bottom" wrapText="0"/>
    </xf>
    <xf borderId="3" fillId="13" fontId="20" numFmtId="0" xfId="0" applyAlignment="1" applyBorder="1" applyFont="1">
      <alignment shrinkToFit="0" vertical="bottom" wrapText="0"/>
    </xf>
    <xf borderId="8" fillId="11" fontId="21" numFmtId="0" xfId="0" applyAlignment="1" applyBorder="1" applyFont="1">
      <alignment horizontal="center" shrinkToFit="0" vertical="center" wrapText="0"/>
    </xf>
    <xf borderId="3" fillId="13" fontId="3" numFmtId="0" xfId="0" applyAlignment="1" applyBorder="1" applyFont="1">
      <alignment shrinkToFit="0" vertical="center" wrapText="0"/>
    </xf>
    <xf borderId="3" fillId="13" fontId="13" numFmtId="0" xfId="0" applyAlignment="1" applyBorder="1" applyFont="1">
      <alignment horizontal="center" shrinkToFit="0" vertical="center" wrapText="0"/>
    </xf>
    <xf borderId="3" fillId="13" fontId="17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1"/>
    </xf>
    <xf borderId="26" fillId="0" fontId="17" numFmtId="169" xfId="0" applyAlignment="1" applyBorder="1" applyFont="1" applyNumberFormat="1">
      <alignment shrinkToFit="0" vertical="center" wrapText="0"/>
    </xf>
    <xf borderId="30" fillId="3" fontId="3" numFmtId="0" xfId="0" applyAlignment="1" applyBorder="1" applyFont="1">
      <alignment shrinkToFit="0" vertical="center" wrapText="0"/>
    </xf>
    <xf borderId="31" fillId="14" fontId="13" numFmtId="2" xfId="0" applyAlignment="1" applyBorder="1" applyFill="1" applyFont="1" applyNumberFormat="1">
      <alignment shrinkToFit="0" vertical="center" wrapText="0"/>
    </xf>
    <xf borderId="32" fillId="14" fontId="13" numFmtId="0" xfId="0" applyAlignment="1" applyBorder="1" applyFont="1">
      <alignment shrinkToFit="0" vertical="center" wrapText="0"/>
    </xf>
    <xf borderId="3" fillId="15" fontId="22" numFmtId="0" xfId="0" applyAlignment="1" applyBorder="1" applyFill="1" applyFont="1">
      <alignment shrinkToFit="0" vertical="center" wrapText="1"/>
    </xf>
    <xf borderId="3" fillId="15" fontId="22" numFmtId="171" xfId="0" applyAlignment="1" applyBorder="1" applyFont="1" applyNumberFormat="1">
      <alignment horizontal="center" shrinkToFit="0" vertical="center" wrapText="0"/>
    </xf>
    <xf borderId="3" fillId="15" fontId="22" numFmtId="172" xfId="0" applyAlignment="1" applyBorder="1" applyFont="1" applyNumberFormat="1">
      <alignment shrinkToFit="0" vertical="center" wrapText="0"/>
    </xf>
    <xf borderId="33" fillId="3" fontId="3" numFmtId="0" xfId="0" applyAlignment="1" applyBorder="1" applyFont="1">
      <alignment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34" fillId="3" fontId="3" numFmtId="0" xfId="0" applyAlignment="1" applyBorder="1" applyFont="1">
      <alignment shrinkToFit="0" vertical="bottom" wrapText="0"/>
    </xf>
    <xf borderId="0" fillId="13" fontId="23" numFmtId="0" xfId="0" applyAlignment="1" applyFont="1">
      <alignment readingOrder="0"/>
    </xf>
    <xf borderId="0" fillId="13" fontId="23" numFmtId="171" xfId="0" applyAlignment="1" applyFont="1" applyNumberFormat="1">
      <alignment horizontal="center"/>
    </xf>
    <xf borderId="3" fillId="13" fontId="24" numFmtId="172" xfId="0" applyAlignment="1" applyBorder="1" applyFont="1" applyNumberFormat="1">
      <alignment shrinkToFit="0" vertical="center" wrapText="0"/>
    </xf>
    <xf borderId="35" fillId="3" fontId="25" numFmtId="0" xfId="0" applyAlignment="1" applyBorder="1" applyFont="1">
      <alignment horizontal="center" shrinkToFit="0" vertical="center" wrapText="0"/>
    </xf>
    <xf borderId="36" fillId="0" fontId="5" numFmtId="0" xfId="0" applyBorder="1" applyFont="1"/>
    <xf borderId="37" fillId="3" fontId="17" numFmtId="169" xfId="0" applyAlignment="1" applyBorder="1" applyFont="1" applyNumberFormat="1">
      <alignment horizontal="center" shrinkToFit="0" vertical="center" wrapText="0"/>
    </xf>
    <xf borderId="38" fillId="3" fontId="13" numFmtId="2" xfId="0" applyAlignment="1" applyBorder="1" applyFont="1" applyNumberFormat="1">
      <alignment horizontal="right" shrinkToFit="0" vertical="center" wrapText="0"/>
    </xf>
    <xf borderId="39" fillId="3" fontId="13" numFmtId="0" xfId="0" applyAlignment="1" applyBorder="1" applyFont="1">
      <alignment horizontal="left" shrinkToFit="0" vertical="center" wrapText="0"/>
    </xf>
    <xf borderId="3" fillId="15" fontId="22" numFmtId="0" xfId="0" applyAlignment="1" applyBorder="1" applyFont="1">
      <alignment readingOrder="0" shrinkToFit="0" vertical="center" wrapText="1"/>
    </xf>
    <xf borderId="3" fillId="15" fontId="22" numFmtId="164" xfId="0" applyAlignment="1" applyBorder="1" applyFont="1" applyNumberFormat="1">
      <alignment shrinkToFit="0" vertical="center" wrapText="0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3" fontId="3" numFmtId="0" xfId="0" applyAlignment="1" applyBorder="1" applyFont="1">
      <alignment shrinkToFit="0" vertical="center" wrapText="0"/>
    </xf>
    <xf borderId="44" fillId="0" fontId="5" numFmtId="0" xfId="0" applyBorder="1" applyFont="1"/>
    <xf borderId="45" fillId="0" fontId="5" numFmtId="0" xfId="0" applyBorder="1" applyFont="1"/>
    <xf borderId="3" fillId="13" fontId="24" numFmtId="0" xfId="0" applyAlignment="1" applyBorder="1" applyFont="1">
      <alignment shrinkToFit="0" vertical="center" wrapText="1"/>
    </xf>
    <xf borderId="3" fillId="13" fontId="24" numFmtId="171" xfId="0" applyAlignment="1" applyBorder="1" applyFont="1" applyNumberFormat="1">
      <alignment horizontal="center" shrinkToFit="0" vertical="center" wrapText="0"/>
    </xf>
    <xf borderId="23" fillId="3" fontId="3" numFmtId="0" xfId="0" applyAlignment="1" applyBorder="1" applyFont="1">
      <alignment readingOrder="0" shrinkToFit="0" vertical="center" wrapText="0"/>
    </xf>
    <xf borderId="23" fillId="3" fontId="3" numFmtId="0" xfId="0" applyAlignment="1" applyBorder="1" applyFont="1">
      <alignment shrinkToFit="0" vertical="center" wrapText="0"/>
    </xf>
    <xf borderId="46" fillId="3" fontId="3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shrinkToFit="0" vertical="center" wrapText="0"/>
    </xf>
    <xf borderId="0" fillId="16" fontId="26" numFmtId="0" xfId="0" applyAlignment="1" applyFill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16" fontId="13" numFmtId="2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16" fontId="26" numFmtId="173" xfId="0" applyAlignment="1" applyFont="1" applyNumberFormat="1">
      <alignment horizontal="left" readingOrder="0"/>
    </xf>
    <xf borderId="0" fillId="0" fontId="27" numFmtId="0" xfId="0" applyAlignment="1" applyFont="1">
      <alignment shrinkToFit="0" vertical="bottom" wrapText="0"/>
    </xf>
    <xf borderId="47" fillId="17" fontId="17" numFmtId="0" xfId="0" applyAlignment="1" applyBorder="1" applyFill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48" fillId="17" fontId="17" numFmtId="0" xfId="0" applyAlignment="1" applyBorder="1" applyFont="1">
      <alignment horizontal="center" shrinkToFit="0" vertical="center" wrapText="0"/>
    </xf>
    <xf borderId="49" fillId="0" fontId="5" numFmtId="0" xfId="0" applyBorder="1" applyFont="1"/>
    <xf borderId="47" fillId="0" fontId="3" numFmtId="174" xfId="0" applyAlignment="1" applyBorder="1" applyFont="1" applyNumberFormat="1">
      <alignment horizontal="center" shrinkToFit="0" vertical="center" wrapText="0"/>
    </xf>
    <xf borderId="50" fillId="0" fontId="12" numFmtId="175" xfId="0" applyAlignment="1" applyBorder="1" applyFont="1" applyNumberFormat="1">
      <alignment horizontal="center" readingOrder="0" shrinkToFit="0" wrapText="0"/>
    </xf>
    <xf borderId="47" fillId="0" fontId="3" numFmtId="170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47" fillId="0" fontId="3" numFmtId="0" xfId="0" applyAlignment="1" applyBorder="1" applyFont="1">
      <alignment horizontal="center" shrinkToFit="0" vertical="center" wrapText="0"/>
    </xf>
    <xf borderId="47" fillId="0" fontId="3" numFmtId="168" xfId="0" applyAlignment="1" applyBorder="1" applyFont="1" applyNumberFormat="1">
      <alignment horizontal="center" readingOrder="0" shrinkToFit="0" vertical="center" wrapText="0"/>
    </xf>
    <xf borderId="47" fillId="0" fontId="3" numFmtId="168" xfId="0" applyAlignment="1" applyBorder="1" applyFont="1" applyNumberFormat="1">
      <alignment horizontal="center" shrinkToFit="0" vertical="center" wrapText="0"/>
    </xf>
    <xf borderId="0" fillId="0" fontId="3" numFmtId="170" xfId="0" applyAlignment="1" applyFont="1" applyNumberFormat="1">
      <alignment horizontal="center" shrinkToFit="0" vertical="center" wrapText="0"/>
    </xf>
    <xf borderId="0" fillId="0" fontId="12" numFmtId="175" xfId="0" applyAlignment="1" applyFont="1" applyNumberFormat="1">
      <alignment horizontal="center" readingOrder="0" shrinkToFit="0" wrapText="0"/>
    </xf>
    <xf borderId="47" fillId="0" fontId="12" numFmtId="174" xfId="0" applyAlignment="1" applyBorder="1" applyFont="1" applyNumberFormat="1">
      <alignment horizontal="center" readingOrder="0" shrinkToFit="0" wrapText="0"/>
    </xf>
    <xf borderId="49" fillId="0" fontId="12" numFmtId="175" xfId="0" applyAlignment="1" applyBorder="1" applyFont="1" applyNumberFormat="1">
      <alignment horizontal="center" readingOrder="0" shrinkToFit="0" wrapText="0"/>
    </xf>
    <xf borderId="49" fillId="0" fontId="12" numFmtId="170" xfId="0" applyAlignment="1" applyBorder="1" applyFont="1" applyNumberFormat="1">
      <alignment horizontal="center" readingOrder="0" shrinkToFit="0" wrapText="0"/>
    </xf>
    <xf borderId="51" fillId="0" fontId="12" numFmtId="174" xfId="0" applyAlignment="1" applyBorder="1" applyFont="1" applyNumberFormat="1">
      <alignment horizontal="center" readingOrder="0" shrinkToFit="0" wrapText="0"/>
    </xf>
    <xf borderId="50" fillId="0" fontId="12" numFmtId="174" xfId="0" applyAlignment="1" applyBorder="1" applyFont="1" applyNumberFormat="1">
      <alignment horizontal="center" readingOrder="0" shrinkToFit="0" wrapText="0"/>
    </xf>
    <xf borderId="50" fillId="0" fontId="12" numFmtId="0" xfId="0" applyAlignment="1" applyBorder="1" applyFont="1">
      <alignment horizontal="center" readingOrder="0" shrinkToFit="0" wrapText="0"/>
    </xf>
    <xf borderId="51" fillId="0" fontId="12" numFmtId="174" xfId="0" applyAlignment="1" applyBorder="1" applyFont="1" applyNumberFormat="1">
      <alignment horizontal="center" readingOrder="0" shrinkToFit="0" vertical="bottom" wrapText="0"/>
    </xf>
    <xf borderId="50" fillId="0" fontId="12" numFmtId="174" xfId="0" applyAlignment="1" applyBorder="1" applyFont="1" applyNumberFormat="1">
      <alignment horizontal="center" readingOrder="0" shrinkToFit="0" vertical="bottom" wrapText="0"/>
    </xf>
    <xf borderId="50" fillId="0" fontId="12" numFmtId="175" xfId="0" applyAlignment="1" applyBorder="1" applyFont="1" applyNumberFormat="1">
      <alignment horizontal="center" readingOrder="0" shrinkToFit="0" vertical="bottom" wrapText="0"/>
    </xf>
    <xf borderId="50" fillId="0" fontId="12" numFmtId="176" xfId="0" applyAlignment="1" applyBorder="1" applyFont="1" applyNumberFormat="1">
      <alignment horizontal="center" readingOrder="0" shrinkToFit="0" wrapText="0"/>
    </xf>
    <xf borderId="0" fillId="0" fontId="12" numFmtId="174" xfId="0" applyAlignment="1" applyFont="1" applyNumberFormat="1">
      <alignment horizontal="center" readingOrder="0" shrinkToFit="0" wrapText="0"/>
    </xf>
    <xf borderId="0" fillId="0" fontId="12" numFmtId="0" xfId="0" applyAlignment="1" applyFont="1">
      <alignment horizontal="center" readingOrder="0" shrinkToFit="0" wrapText="0"/>
    </xf>
    <xf borderId="0" fillId="0" fontId="3" numFmtId="177" xfId="0" applyAlignment="1" applyFont="1" applyNumberFormat="1">
      <alignment horizontal="center" readingOrder="0" shrinkToFit="0" vertical="center" wrapText="0"/>
    </xf>
    <xf borderId="0" fillId="0" fontId="3" numFmtId="173" xfId="0" applyAlignment="1" applyFont="1" applyNumberFormat="1">
      <alignment horizontal="center" readingOrder="0" shrinkToFit="0" vertical="center" wrapText="0"/>
    </xf>
    <xf borderId="0" fillId="0" fontId="3" numFmtId="17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2" numFmtId="173" xfId="0" applyAlignment="1" applyFont="1" applyNumberFormat="1">
      <alignment horizontal="center" readingOrder="0" shrinkToFit="0" wrapText="0"/>
    </xf>
    <xf borderId="0" fillId="0" fontId="12" numFmtId="167" xfId="0" applyAlignment="1" applyFont="1" applyNumberFormat="1">
      <alignment horizontal="center" readingOrder="0" shrinkToFit="0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14" xfId="0" applyAlignment="1" applyFont="1" applyNumberFormat="1">
      <alignment horizontal="center" shrinkToFit="0" vertical="center" wrapText="0"/>
    </xf>
    <xf borderId="0" fillId="0" fontId="3" numFmtId="175" xfId="0" applyAlignment="1" applyFont="1" applyNumberFormat="1">
      <alignment horizontal="center" shrinkToFit="0" vertical="center" wrapText="0"/>
    </xf>
    <xf borderId="48" fillId="16" fontId="28" numFmtId="0" xfId="0" applyAlignment="1" applyBorder="1" applyFont="1">
      <alignment horizontal="center" readingOrder="0" shrinkToFit="0" vertical="center" wrapText="1"/>
    </xf>
    <xf borderId="52" fillId="0" fontId="5" numFmtId="0" xfId="0" applyBorder="1" applyFont="1"/>
    <xf borderId="48" fillId="16" fontId="29" numFmtId="0" xfId="0" applyAlignment="1" applyBorder="1" applyFont="1">
      <alignment horizontal="center" shrinkToFit="0" vertical="center" wrapText="1"/>
    </xf>
    <xf borderId="53" fillId="16" fontId="29" numFmtId="0" xfId="0" applyAlignment="1" applyBorder="1" applyFont="1">
      <alignment horizontal="center" shrinkToFit="0" vertical="center" wrapText="1"/>
    </xf>
    <xf borderId="53" fillId="18" fontId="29" numFmtId="0" xfId="0" applyAlignment="1" applyBorder="1" applyFill="1" applyFont="1">
      <alignment horizontal="center" shrinkToFit="0" vertical="center" wrapText="1"/>
    </xf>
    <xf borderId="54" fillId="0" fontId="5" numFmtId="0" xfId="0" applyBorder="1" applyFont="1"/>
    <xf borderId="47" fillId="16" fontId="29" numFmtId="0" xfId="0" applyAlignment="1" applyBorder="1" applyFont="1">
      <alignment horizontal="center" shrinkToFit="0" vertical="center" wrapText="1"/>
    </xf>
    <xf borderId="47" fillId="16" fontId="30" numFmtId="0" xfId="0" applyAlignment="1" applyBorder="1" applyFont="1">
      <alignment horizontal="center" shrinkToFit="0" vertical="center" wrapText="1"/>
    </xf>
    <xf borderId="51" fillId="0" fontId="5" numFmtId="0" xfId="0" applyBorder="1" applyFont="1"/>
    <xf borderId="47" fillId="16" fontId="31" numFmtId="0" xfId="0" applyAlignment="1" applyBorder="1" applyFont="1">
      <alignment horizontal="center" shrinkToFit="0" vertical="center" wrapText="1"/>
    </xf>
    <xf borderId="47" fillId="16" fontId="30" numFmtId="14" xfId="0" applyAlignment="1" applyBorder="1" applyFont="1" applyNumberFormat="1">
      <alignment horizontal="center" shrinkToFit="0" vertical="center" wrapText="1"/>
    </xf>
    <xf borderId="47" fillId="18" fontId="30" numFmtId="178" xfId="0" applyAlignment="1" applyBorder="1" applyFont="1" applyNumberFormat="1">
      <alignment horizontal="center" shrinkToFit="0" vertical="center" wrapText="1"/>
    </xf>
    <xf borderId="47" fillId="14" fontId="30" numFmtId="17" xfId="0" applyAlignment="1" applyBorder="1" applyFont="1" applyNumberFormat="1">
      <alignment horizontal="center" shrinkToFit="0" vertical="center" wrapText="1"/>
    </xf>
    <xf borderId="47" fillId="16" fontId="30" numFmtId="174" xfId="0" applyAlignment="1" applyBorder="1" applyFont="1" applyNumberFormat="1">
      <alignment horizontal="center" shrinkToFit="0" vertical="center" wrapText="1"/>
    </xf>
    <xf borderId="47" fillId="16" fontId="32" numFmtId="17" xfId="0" applyAlignment="1" applyBorder="1" applyFont="1" applyNumberFormat="1">
      <alignment horizontal="center" shrinkToFit="0" vertical="center" wrapText="1"/>
    </xf>
    <xf borderId="47" fillId="18" fontId="30" numFmtId="178" xfId="0" applyAlignment="1" applyBorder="1" applyFont="1" applyNumberFormat="1">
      <alignment horizontal="center" readingOrder="0" shrinkToFit="0" vertical="center" wrapText="1"/>
    </xf>
    <xf borderId="47" fillId="16" fontId="30" numFmtId="17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733425</xdr:rowOff>
    </xdr:from>
    <xdr:ext cx="6096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pacf.org.ar/uploads/files/acordadas/23052208_2022-12_UMA_Mayo.pdf" TargetMode="External"/><Relationship Id="rId22" Type="http://schemas.openxmlformats.org/officeDocument/2006/relationships/hyperlink" Target="https://www.cpacf.org.ar/uploads/files/acordadas/12092212_08092219_Acordada25-2022.pdf" TargetMode="External"/><Relationship Id="rId21" Type="http://schemas.openxmlformats.org/officeDocument/2006/relationships/hyperlink" Target="https://www.cpacf.org.ar/uploads/files/acordadas/23052208_2022-12_UMA_Mayo.pdf" TargetMode="External"/><Relationship Id="rId24" Type="http://schemas.openxmlformats.org/officeDocument/2006/relationships/hyperlink" Target="https://www.cpacf.org.ar/uploads/files/acordadas/24022313_ACO3-2023.pdf" TargetMode="External"/><Relationship Id="rId23" Type="http://schemas.openxmlformats.org/officeDocument/2006/relationships/hyperlink" Target="https://www.cpacf.org.ar/uploads/files/acordadas/12092212_08092219_Acordada25-2022.pdf" TargetMode="External"/><Relationship Id="rId1" Type="http://schemas.openxmlformats.org/officeDocument/2006/relationships/hyperlink" Target="https://new.cpacf.org.ar/uploads/files/acordadas/18042217_Acordada%20CSJN%2027-2018.pdf" TargetMode="External"/><Relationship Id="rId2" Type="http://schemas.openxmlformats.org/officeDocument/2006/relationships/hyperlink" Target="https://new.cpacf.org.ar/uploads/files/acordadas/18042217_Acordada%20CSJN%2027-2018.pdf" TargetMode="External"/><Relationship Id="rId3" Type="http://schemas.openxmlformats.org/officeDocument/2006/relationships/hyperlink" Target="https://new.cpacf.org.ar/uploads/files/acordadas/18042217_Acordada%20CSJN%2027-2018.pdf" TargetMode="External"/><Relationship Id="rId4" Type="http://schemas.openxmlformats.org/officeDocument/2006/relationships/hyperlink" Target="https://new.cpacf.org.ar/uploads/files/acordadas/18042212_Acordada%20CSJN%203-2019.pdf" TargetMode="External"/><Relationship Id="rId9" Type="http://schemas.openxmlformats.org/officeDocument/2006/relationships/hyperlink" Target="https://new.cpacf.org.ar/uploads/files/acordadas/18042212_Acordada%20CSJN%2030-2019.pdf" TargetMode="External"/><Relationship Id="rId26" Type="http://schemas.openxmlformats.org/officeDocument/2006/relationships/hyperlink" Target="https://www.cpacf.org.ar/uploads/files/acordadas/04042315_CSJN-ACORDADA9-2023.pdf" TargetMode="External"/><Relationship Id="rId25" Type="http://schemas.openxmlformats.org/officeDocument/2006/relationships/hyperlink" Target="https://www.cpacf.org.ar/uploads/files/acordadas/04042315_CSJN-ACORDADA9-2023.pdf" TargetMode="External"/><Relationship Id="rId28" Type="http://schemas.openxmlformats.org/officeDocument/2006/relationships/hyperlink" Target="https://www.cpacf.org.ar/uploads/files/acordadas/14062310_Acordada19-2023.pdf" TargetMode="External"/><Relationship Id="rId27" Type="http://schemas.openxmlformats.org/officeDocument/2006/relationships/hyperlink" Target="https://www.cpacf.org.ar/uploads/files/acordadas/04042315_CSJN-ACORDADA9-2023.pdf" TargetMode="External"/><Relationship Id="rId5" Type="http://schemas.openxmlformats.org/officeDocument/2006/relationships/hyperlink" Target="https://new.cpacf.org.ar/uploads/files/acordadas/18042212_Acordada%20CSJN%208-2019.pdf" TargetMode="External"/><Relationship Id="rId6" Type="http://schemas.openxmlformats.org/officeDocument/2006/relationships/hyperlink" Target="https://new.cpacf.org.ar/uploads/files/acordadas/18042212_Acordada%20CSJN%2020-2019.pdf" TargetMode="External"/><Relationship Id="rId29" Type="http://schemas.openxmlformats.org/officeDocument/2006/relationships/hyperlink" Target="https://www.cpacf.org.ar/uploads/files/acordadas/14062310_Acordada19-2023.pdf" TargetMode="External"/><Relationship Id="rId7" Type="http://schemas.openxmlformats.org/officeDocument/2006/relationships/hyperlink" Target="https://new.cpacf.org.ar/uploads/files/acordadas/18042212_Acordada%20CSJN%2020-2019.pdf" TargetMode="External"/><Relationship Id="rId8" Type="http://schemas.openxmlformats.org/officeDocument/2006/relationships/hyperlink" Target="https://new.cpacf.org.ar/uploads/files/acordadas/18042212_Acordada%20CSJN%2028-2019.pdf" TargetMode="External"/><Relationship Id="rId31" Type="http://schemas.openxmlformats.org/officeDocument/2006/relationships/hyperlink" Target="https://www.cpacf.org.ar/public/uploads/files/com/22092312_UMA2023-29.pdf" TargetMode="External"/><Relationship Id="rId30" Type="http://schemas.openxmlformats.org/officeDocument/2006/relationships/hyperlink" Target="https://www.cpacf.org.ar/uploads/files/acordadas/14062310_Acordada19-2023.pdf" TargetMode="External"/><Relationship Id="rId11" Type="http://schemas.openxmlformats.org/officeDocument/2006/relationships/hyperlink" Target="https://new.cpacf.org.ar/uploads/files/acordadas/18042212_Acordada%20CSJN%2036-2020.pdf" TargetMode="External"/><Relationship Id="rId33" Type="http://schemas.openxmlformats.org/officeDocument/2006/relationships/hyperlink" Target="https://www.cpacf.org.ar/public/uploads/files/com/12102313_CSJN%20-%20Resolucion%202722-23%20-%20UMA.pdf" TargetMode="External"/><Relationship Id="rId10" Type="http://schemas.openxmlformats.org/officeDocument/2006/relationships/hyperlink" Target="https://new.cpacf.org.ar/uploads/files/acordadas/18042212_Acordada%20CSJN%202-2020.pdf" TargetMode="External"/><Relationship Id="rId32" Type="http://schemas.openxmlformats.org/officeDocument/2006/relationships/hyperlink" Target="https://www.cpacf.org.ar/public/uploads/files/com/12102313_CSJN%20-%20Resolucion%202722-23%20-%20UMA.pdf" TargetMode="External"/><Relationship Id="rId13" Type="http://schemas.openxmlformats.org/officeDocument/2006/relationships/hyperlink" Target="https://new.cpacf.org.ar/uploads/files/acordadas/18042212_Acordada%20CSJN%207-2021.pdf" TargetMode="External"/><Relationship Id="rId35" Type="http://schemas.openxmlformats.org/officeDocument/2006/relationships/hyperlink" Target="https://www.cpacf.org.ar/uploads/files/com/04122312_CSJN%20-%20RESOLUCION%203369-2023.pdf" TargetMode="External"/><Relationship Id="rId12" Type="http://schemas.openxmlformats.org/officeDocument/2006/relationships/hyperlink" Target="https://new.cpacf.org.ar/uploads/files/acordadas/18042212_Acordada%20CSJN%201-2021.pdf" TargetMode="External"/><Relationship Id="rId34" Type="http://schemas.openxmlformats.org/officeDocument/2006/relationships/hyperlink" Target="https://www.cpacf.org.ar/uploads/files/com/04122312_CSJN%20-%20RESOLUCION%203369-2023.pdf" TargetMode="External"/><Relationship Id="rId15" Type="http://schemas.openxmlformats.org/officeDocument/2006/relationships/hyperlink" Target="https://new.cpacf.org.ar/uploads/files/acordadas/18042211_Acordada%20CSJN%2012-2021.pdf" TargetMode="External"/><Relationship Id="rId37" Type="http://schemas.openxmlformats.org/officeDocument/2006/relationships/hyperlink" Target="https://www.cpacf.org.ar/uploads/files/acordadas/21022411_CSJN-RESOLUCION_176-2024.pdf" TargetMode="External"/><Relationship Id="rId14" Type="http://schemas.openxmlformats.org/officeDocument/2006/relationships/hyperlink" Target="https://new.cpacf.org.ar/uploads/files/acordadas/18042211_Acordada%20CSJN%2012-2021.pdf" TargetMode="External"/><Relationship Id="rId36" Type="http://schemas.openxmlformats.org/officeDocument/2006/relationships/hyperlink" Target="https://www.cpacf.org.ar/public/uploads/files/com/02022409_UMACorte2.pdf" TargetMode="External"/><Relationship Id="rId17" Type="http://schemas.openxmlformats.org/officeDocument/2006/relationships/hyperlink" Target="https://new.cpacf.org.ar/uploads/files/acordadas/18042211_Acordada%20CSJN%2021-2021.pdf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new.cpacf.org.ar/uploads/files/acordadas/18042211_Acordada%20CSJN%2021-2021.pdf" TargetMode="External"/><Relationship Id="rId38" Type="http://schemas.openxmlformats.org/officeDocument/2006/relationships/hyperlink" Target="https://www.cpacf.org.ar/uploads/files/com/04042414_RES_2024_626.pdf" TargetMode="External"/><Relationship Id="rId19" Type="http://schemas.openxmlformats.org/officeDocument/2006/relationships/hyperlink" Target="https://new.cpacf.org.ar/uploads/files/acordadas/18042211_Acordada%20CSJN%204-2022.pdf" TargetMode="External"/><Relationship Id="rId18" Type="http://schemas.openxmlformats.org/officeDocument/2006/relationships/hyperlink" Target="https://new.cpacf.org.ar/uploads/files/actas/18042211_Acordada%20CSJN%2028-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2.43"/>
    <col customWidth="1" min="3" max="3" width="24.29"/>
    <col customWidth="1" min="4" max="4" width="18.29"/>
    <col customWidth="1" min="5" max="5" width="1.43"/>
    <col customWidth="1" min="6" max="6" width="9.29"/>
    <col customWidth="1" min="7" max="7" width="9.14"/>
    <col customWidth="1" min="8" max="8" width="2.71"/>
    <col customWidth="1" min="9" max="9" width="38.43"/>
    <col customWidth="1" min="10" max="10" width="18.71"/>
    <col customWidth="1" min="11" max="11" width="25.86"/>
    <col customWidth="1" min="12" max="12" width="8.71"/>
    <col customWidth="1" min="13" max="23" width="9.14"/>
    <col customWidth="1" min="24" max="26" width="10.0"/>
  </cols>
  <sheetData>
    <row r="1" ht="64.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7"/>
      <c r="Z1" s="7"/>
    </row>
    <row r="2" ht="31.5" customHeight="1">
      <c r="A2" s="8" t="s">
        <v>0</v>
      </c>
      <c r="B2" s="9"/>
      <c r="C2" s="9"/>
      <c r="D2" s="9"/>
      <c r="E2" s="9"/>
      <c r="F2" s="9"/>
      <c r="G2" s="9"/>
      <c r="H2" s="9"/>
      <c r="I2" s="10"/>
      <c r="J2" s="11"/>
      <c r="K2" s="4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7"/>
      <c r="Z2" s="7"/>
    </row>
    <row r="3" ht="14.25" customHeight="1">
      <c r="A3" s="5"/>
      <c r="B3" s="4"/>
      <c r="C3" s="4"/>
      <c r="D3" s="4"/>
      <c r="E3" s="4"/>
      <c r="F3" s="12"/>
      <c r="G3" s="13"/>
      <c r="H3" s="14"/>
      <c r="I3" s="15"/>
      <c r="J3" s="4"/>
      <c r="K3" s="4"/>
      <c r="L3" s="5" t="b">
        <v>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7"/>
    </row>
    <row r="4" ht="15.0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5" t="b">
        <v>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7"/>
      <c r="Z4" s="7"/>
    </row>
    <row r="5" ht="21.0" customHeight="1">
      <c r="A5" s="5"/>
      <c r="B5" s="4"/>
      <c r="C5" s="4"/>
      <c r="D5" s="4"/>
      <c r="E5" s="4"/>
      <c r="F5" s="4"/>
      <c r="G5" s="16"/>
      <c r="H5" s="17"/>
      <c r="I5" s="4"/>
      <c r="J5" s="4"/>
      <c r="K5" s="18" t="s">
        <v>1</v>
      </c>
      <c r="L5" s="19"/>
      <c r="M5" s="20"/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7"/>
      <c r="Z5" s="7"/>
    </row>
    <row r="6" ht="21.0" customHeight="1">
      <c r="A6" s="4"/>
      <c r="B6" s="21" t="s">
        <v>2</v>
      </c>
      <c r="C6" s="22"/>
      <c r="D6" s="22"/>
      <c r="E6" s="22"/>
      <c r="F6" s="22"/>
      <c r="G6" s="23"/>
      <c r="H6" s="4"/>
      <c r="I6" s="24"/>
      <c r="J6" s="4"/>
      <c r="K6" s="25" t="b">
        <v>0</v>
      </c>
      <c r="L6" s="19"/>
      <c r="M6" s="20"/>
      <c r="N6" s="20"/>
      <c r="O6" s="20"/>
      <c r="P6" s="6"/>
      <c r="Q6" s="6"/>
      <c r="R6" s="6"/>
      <c r="S6" s="6"/>
      <c r="T6" s="6"/>
      <c r="U6" s="6"/>
      <c r="V6" s="6"/>
      <c r="W6" s="6"/>
      <c r="X6" s="7"/>
      <c r="Y6" s="7"/>
      <c r="Z6" s="7"/>
    </row>
    <row r="7" ht="18.75" customHeight="1">
      <c r="A7" s="4"/>
      <c r="B7" s="26" t="s">
        <v>3</v>
      </c>
      <c r="C7" s="27"/>
      <c r="D7" s="27"/>
      <c r="E7" s="27"/>
      <c r="F7" s="27"/>
      <c r="G7" s="28"/>
      <c r="H7" s="4"/>
      <c r="I7" s="24"/>
      <c r="J7" s="4"/>
      <c r="K7" s="12"/>
      <c r="L7" s="19"/>
      <c r="M7" s="6"/>
      <c r="N7" s="6"/>
      <c r="O7" s="20"/>
      <c r="P7" s="6"/>
      <c r="Q7" s="6"/>
      <c r="R7" s="6"/>
      <c r="S7" s="6"/>
      <c r="T7" s="6"/>
      <c r="U7" s="6"/>
      <c r="V7" s="6"/>
      <c r="W7" s="6"/>
      <c r="X7" s="7"/>
      <c r="Y7" s="7"/>
      <c r="Z7" s="7"/>
    </row>
    <row r="8" ht="28.5" customHeight="1">
      <c r="A8" s="4"/>
      <c r="B8" s="29" t="s">
        <v>4</v>
      </c>
      <c r="C8" s="30">
        <f>VLOOKUP($J$11,PARAMETROS!A2:D82,3)</f>
        <v>66436</v>
      </c>
      <c r="D8" s="31"/>
      <c r="E8" s="32"/>
      <c r="F8" s="32"/>
      <c r="G8" s="17"/>
      <c r="H8" s="4"/>
      <c r="I8" s="33" t="s">
        <v>5</v>
      </c>
      <c r="J8" s="34"/>
      <c r="K8" s="12"/>
      <c r="L8" s="19"/>
      <c r="M8" s="6"/>
      <c r="N8" s="6"/>
      <c r="O8" s="20"/>
      <c r="P8" s="6"/>
      <c r="Q8" s="6"/>
      <c r="R8" s="6"/>
      <c r="S8" s="6"/>
      <c r="T8" s="6"/>
      <c r="U8" s="6"/>
      <c r="V8" s="6"/>
      <c r="W8" s="6"/>
      <c r="X8" s="7"/>
      <c r="Y8" s="7"/>
      <c r="Z8" s="7"/>
    </row>
    <row r="9" ht="15.0" customHeight="1">
      <c r="A9" s="4"/>
      <c r="B9" s="35" t="s">
        <v>6</v>
      </c>
      <c r="C9" s="36">
        <f>+$J$10/$C$8</f>
        <v>150.520802</v>
      </c>
      <c r="D9" s="31" t="s">
        <v>7</v>
      </c>
      <c r="E9" s="32"/>
      <c r="F9" s="37"/>
      <c r="G9" s="38" t="str">
        <f>VLOOKUP(C9,PARAMETROS!F2:L8,7)</f>
        <v>4º</v>
      </c>
      <c r="H9" s="4"/>
      <c r="I9" s="39"/>
      <c r="J9" s="40"/>
      <c r="K9" s="41">
        <v>45443.0</v>
      </c>
      <c r="L9" s="5"/>
      <c r="M9" s="6"/>
      <c r="N9" s="6"/>
      <c r="O9" s="20"/>
      <c r="P9" s="6"/>
      <c r="Q9" s="6"/>
      <c r="R9" s="6"/>
      <c r="S9" s="6"/>
      <c r="T9" s="6"/>
      <c r="U9" s="6"/>
      <c r="V9" s="6"/>
      <c r="W9" s="6"/>
      <c r="X9" s="7"/>
      <c r="Y9" s="7"/>
      <c r="Z9" s="7"/>
    </row>
    <row r="10" ht="21.75" customHeight="1">
      <c r="A10" s="24"/>
      <c r="B10" s="42" t="s">
        <v>8</v>
      </c>
      <c r="C10" s="43">
        <f>VLOOKUP($J$12,PARAMETROS!A2:D102,3)</f>
        <v>92482</v>
      </c>
      <c r="D10" s="24"/>
      <c r="E10" s="24"/>
      <c r="F10" s="24"/>
      <c r="G10" s="24"/>
      <c r="H10" s="24"/>
      <c r="I10" s="44" t="s">
        <v>9</v>
      </c>
      <c r="J10" s="45">
        <v>1.0E7</v>
      </c>
      <c r="K10" s="46">
        <v>44746.0</v>
      </c>
      <c r="L10" s="47"/>
      <c r="M10" s="48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7"/>
      <c r="Y10" s="7"/>
      <c r="Z10" s="7"/>
    </row>
    <row r="11" ht="21.75" customHeight="1">
      <c r="A11" s="24"/>
      <c r="B11" s="24"/>
      <c r="C11" s="24"/>
      <c r="D11" s="24"/>
      <c r="E11" s="24"/>
      <c r="F11" s="24"/>
      <c r="G11" s="24"/>
      <c r="H11" s="24"/>
      <c r="I11" s="50" t="s">
        <v>10</v>
      </c>
      <c r="J11" s="51">
        <v>45657.0</v>
      </c>
      <c r="K11" s="24"/>
      <c r="L11" s="47"/>
      <c r="N11" s="49"/>
      <c r="O11" s="49"/>
      <c r="P11" s="49"/>
      <c r="Q11" s="49"/>
      <c r="R11" s="48"/>
      <c r="S11" s="49"/>
      <c r="T11" s="49"/>
      <c r="U11" s="49"/>
      <c r="V11" s="49"/>
      <c r="W11" s="49"/>
      <c r="X11" s="7"/>
      <c r="Y11" s="7"/>
      <c r="Z11" s="7"/>
    </row>
    <row r="12" ht="25.5" customHeight="1">
      <c r="A12" s="4"/>
      <c r="B12" s="52" t="s">
        <v>11</v>
      </c>
      <c r="C12" s="22"/>
      <c r="D12" s="22"/>
      <c r="E12" s="22"/>
      <c r="F12" s="22"/>
      <c r="G12" s="23"/>
      <c r="H12" s="4"/>
      <c r="I12" s="53" t="s">
        <v>12</v>
      </c>
      <c r="J12" s="54">
        <v>46156.0</v>
      </c>
      <c r="K12" s="4"/>
      <c r="L12" s="5"/>
      <c r="M12" s="20"/>
      <c r="N12" s="6"/>
      <c r="O12" s="6"/>
      <c r="P12" s="6"/>
      <c r="Q12" s="6"/>
      <c r="R12" s="20"/>
      <c r="S12" s="6"/>
      <c r="T12" s="6"/>
      <c r="U12" s="6"/>
      <c r="V12" s="6"/>
      <c r="W12" s="6"/>
      <c r="X12" s="7"/>
      <c r="Y12" s="7"/>
      <c r="Z12" s="7"/>
    </row>
    <row r="13" ht="15.0" customHeight="1">
      <c r="A13" s="4"/>
      <c r="B13" s="55" t="str">
        <f>IF(D13=0,"","Máx límite grado anterior")</f>
        <v>Máx límite grado anterior</v>
      </c>
      <c r="C13" s="56">
        <f>VLOOKUP($C$9,PARAMETROS!$F$2:$J$8,5)</f>
        <v>0.24</v>
      </c>
      <c r="D13" s="57">
        <f>+F13*C8</f>
        <v>1435017.6</v>
      </c>
      <c r="E13" s="4"/>
      <c r="F13" s="58">
        <f>VLOOKUP($C$9,PARAMETROS!$F$2:$K$8,6)*C13</f>
        <v>21.6</v>
      </c>
      <c r="G13" s="59" t="str">
        <f>IF(D13=0,"","UMAs")</f>
        <v>UMAs</v>
      </c>
      <c r="H13" s="4"/>
      <c r="I13" s="60"/>
      <c r="J13" s="61"/>
      <c r="K13" s="62" t="s">
        <v>13</v>
      </c>
      <c r="L13" s="5"/>
      <c r="M13" s="20"/>
      <c r="N13" s="20"/>
      <c r="O13" s="6"/>
      <c r="P13" s="6"/>
      <c r="Q13" s="6"/>
      <c r="R13" s="63"/>
      <c r="S13" s="6"/>
      <c r="T13" s="6"/>
      <c r="U13" s="6"/>
      <c r="V13" s="6"/>
      <c r="W13" s="6"/>
      <c r="X13" s="7"/>
      <c r="Y13" s="7"/>
      <c r="Z13" s="7"/>
    </row>
    <row r="14" ht="15.75" customHeight="1">
      <c r="A14" s="4"/>
      <c r="B14" s="64" t="str">
        <f>IF(C13=0,"Mínimo","Excedente")</f>
        <v>Excedente</v>
      </c>
      <c r="C14" s="65">
        <f>VLOOKUP($C$9,PARAMETROS!$F$2:$I$8,3)</f>
        <v>0.17</v>
      </c>
      <c r="D14" s="66">
        <f>+F14*C8</f>
        <v>683529.2</v>
      </c>
      <c r="E14" s="4"/>
      <c r="F14" s="67">
        <f>(C9-VLOOKUP($C$9,PARAMETROS!$F$2:$K$8,6))*C14</f>
        <v>10.28853634</v>
      </c>
      <c r="G14" s="68" t="s">
        <v>14</v>
      </c>
      <c r="H14" s="4"/>
      <c r="I14" s="69"/>
      <c r="J14" s="61"/>
      <c r="K14" s="4"/>
      <c r="L14" s="5"/>
      <c r="M14" s="20"/>
      <c r="N14" s="20"/>
      <c r="O14" s="6"/>
      <c r="P14" s="20"/>
      <c r="Q14" s="6"/>
      <c r="R14" s="20"/>
      <c r="S14" s="6"/>
      <c r="T14" s="6"/>
      <c r="U14" s="6"/>
      <c r="V14" s="6"/>
      <c r="W14" s="6"/>
      <c r="X14" s="7"/>
      <c r="Y14" s="7"/>
      <c r="Z14" s="7"/>
    </row>
    <row r="15" ht="15.75" customHeight="1">
      <c r="A15" s="4"/>
      <c r="B15" s="70" t="s">
        <v>15</v>
      </c>
      <c r="C15" s="17"/>
      <c r="D15" s="71">
        <f>F15*C10</f>
        <v>2949115.617</v>
      </c>
      <c r="E15" s="4"/>
      <c r="F15" s="72">
        <f>+F13+F14</f>
        <v>31.88853634</v>
      </c>
      <c r="G15" s="73" t="s">
        <v>14</v>
      </c>
      <c r="H15" s="4"/>
      <c r="I15" s="74"/>
      <c r="J15" s="61"/>
      <c r="K15" s="75">
        <v>6035195.59</v>
      </c>
      <c r="L15" s="5"/>
      <c r="M15" s="20"/>
      <c r="N15" s="20"/>
      <c r="O15" s="20"/>
      <c r="P15" s="6"/>
      <c r="Q15" s="6"/>
      <c r="R15" s="20"/>
      <c r="S15" s="6"/>
      <c r="T15" s="6"/>
      <c r="U15" s="6"/>
      <c r="V15" s="6"/>
      <c r="W15" s="6"/>
      <c r="X15" s="7"/>
      <c r="Y15" s="7"/>
      <c r="Z15" s="7"/>
    </row>
    <row r="16" ht="23.25" customHeight="1">
      <c r="A16" s="24"/>
      <c r="B16" s="24"/>
      <c r="C16" s="24"/>
      <c r="D16" s="24"/>
      <c r="E16" s="24"/>
      <c r="F16" s="24"/>
      <c r="G16" s="24"/>
      <c r="H16" s="24"/>
      <c r="I16" s="76" t="s">
        <v>16</v>
      </c>
      <c r="J16" s="77"/>
      <c r="K16" s="78"/>
      <c r="L16" s="47"/>
      <c r="M16" s="48"/>
      <c r="N16" s="48"/>
      <c r="O16" s="48"/>
      <c r="P16" s="48"/>
      <c r="Q16" s="49"/>
      <c r="R16" s="49"/>
      <c r="S16" s="49"/>
      <c r="T16" s="49"/>
      <c r="U16" s="49"/>
      <c r="V16" s="49"/>
      <c r="W16" s="49"/>
      <c r="X16" s="7"/>
      <c r="Y16" s="7"/>
      <c r="Z16" s="7"/>
    </row>
    <row r="17" ht="25.5" customHeight="1">
      <c r="A17" s="4"/>
      <c r="B17" s="79" t="s">
        <v>17</v>
      </c>
      <c r="C17" s="32"/>
      <c r="D17" s="32"/>
      <c r="E17" s="32"/>
      <c r="F17" s="32"/>
      <c r="G17" s="17"/>
      <c r="H17" s="4"/>
      <c r="I17" s="80"/>
      <c r="J17" s="81" t="s">
        <v>18</v>
      </c>
      <c r="K17" s="82" t="s">
        <v>19</v>
      </c>
      <c r="L17" s="5"/>
      <c r="M17" s="20"/>
      <c r="N17" s="20"/>
      <c r="O17" s="20"/>
      <c r="P17" s="20"/>
      <c r="Q17" s="6"/>
      <c r="R17" s="6"/>
      <c r="S17" s="6"/>
      <c r="T17" s="6"/>
      <c r="U17" s="6"/>
      <c r="V17" s="6"/>
      <c r="W17" s="6"/>
      <c r="X17" s="7"/>
      <c r="Y17" s="7"/>
      <c r="Z17" s="7"/>
    </row>
    <row r="18" ht="23.25" customHeight="1">
      <c r="A18" s="4"/>
      <c r="B18" s="83" t="str">
        <f>CONCATENATE("Reducción 50%",(IF(K6=FALSE," + 10% (por ausencia de excepciones)","")))</f>
        <v>Reducción 50% + 10% (por ausencia de excepciones)</v>
      </c>
      <c r="C18" s="17"/>
      <c r="D18" s="84">
        <f>((D13+D14)/2)*(IF(K6=FALSE,0.9,1))</f>
        <v>953346.06</v>
      </c>
      <c r="E18" s="85"/>
      <c r="F18" s="86">
        <f>D18/$C$8</f>
        <v>14.34984135</v>
      </c>
      <c r="G18" s="87" t="s">
        <v>14</v>
      </c>
      <c r="H18" s="4"/>
      <c r="I18" s="88" t="s">
        <v>20</v>
      </c>
      <c r="J18" s="89">
        <f>CEILING(F18/2, 0.5)</f>
        <v>7.5</v>
      </c>
      <c r="K18" s="90">
        <f>J18*C10</f>
        <v>693615</v>
      </c>
      <c r="L18" s="5"/>
      <c r="M18" s="20"/>
      <c r="N18" s="20"/>
      <c r="O18" s="20"/>
      <c r="P18" s="20"/>
      <c r="Q18" s="20"/>
      <c r="R18" s="6"/>
      <c r="S18" s="6"/>
      <c r="T18" s="6"/>
      <c r="U18" s="6"/>
      <c r="V18" s="6"/>
      <c r="W18" s="6"/>
      <c r="X18" s="7"/>
      <c r="Y18" s="7"/>
      <c r="Z18" s="7"/>
    </row>
    <row r="19" ht="20.25" customHeight="1">
      <c r="A19" s="4"/>
      <c r="B19" s="91"/>
      <c r="C19" s="92" t="s">
        <v>21</v>
      </c>
      <c r="D19" s="84">
        <f>C10*F18</f>
        <v>1327102.028</v>
      </c>
      <c r="E19" s="24"/>
      <c r="F19" s="24"/>
      <c r="G19" s="93"/>
      <c r="H19" s="4"/>
      <c r="I19" s="94" t="s">
        <v>22</v>
      </c>
      <c r="J19" s="95">
        <f>CEILING(F18*0.9, 0.5)</f>
        <v>13</v>
      </c>
      <c r="K19" s="96">
        <f>J19*C10</f>
        <v>1202266</v>
      </c>
      <c r="L19" s="5"/>
      <c r="M19" s="20"/>
      <c r="N19" s="20"/>
      <c r="O19" s="20"/>
      <c r="P19" s="20"/>
      <c r="Q19" s="20"/>
      <c r="R19" s="6"/>
      <c r="S19" s="6"/>
      <c r="T19" s="6"/>
      <c r="U19" s="6"/>
      <c r="V19" s="6"/>
      <c r="W19" s="6"/>
      <c r="X19" s="7"/>
      <c r="Y19" s="7"/>
      <c r="Z19" s="7"/>
    </row>
    <row r="20" ht="24.75" customHeight="1">
      <c r="A20" s="4"/>
      <c r="B20" s="97">
        <f>F18*0.4</f>
        <v>5.73993654</v>
      </c>
      <c r="C20" s="98"/>
      <c r="D20" s="99">
        <f>+D18*1.4</f>
        <v>1334684.484</v>
      </c>
      <c r="E20" s="24"/>
      <c r="F20" s="100">
        <f>D20/$C$8</f>
        <v>20.08977789</v>
      </c>
      <c r="G20" s="101" t="s">
        <v>14</v>
      </c>
      <c r="H20" s="4"/>
      <c r="I20" s="102" t="s">
        <v>23</v>
      </c>
      <c r="J20" s="89">
        <f>CEILING(F18*0.4, 0.5)</f>
        <v>6</v>
      </c>
      <c r="K20" s="103">
        <f>J20*C10</f>
        <v>554892</v>
      </c>
      <c r="L20" s="5"/>
      <c r="M20" s="20"/>
      <c r="N20" s="20"/>
      <c r="O20" s="20"/>
      <c r="P20" s="20"/>
      <c r="Q20" s="6"/>
      <c r="R20" s="6"/>
      <c r="S20" s="6"/>
      <c r="T20" s="6"/>
      <c r="U20" s="6"/>
      <c r="V20" s="6"/>
      <c r="W20" s="6"/>
      <c r="X20" s="7"/>
      <c r="Y20" s="7"/>
      <c r="Z20" s="7"/>
    </row>
    <row r="21" ht="27.0" customHeight="1">
      <c r="A21" s="4"/>
      <c r="B21" s="104"/>
      <c r="C21" s="105"/>
      <c r="D21" s="106"/>
      <c r="E21" s="107"/>
      <c r="F21" s="108"/>
      <c r="G21" s="109"/>
      <c r="H21" s="4"/>
      <c r="I21" s="110" t="s">
        <v>24</v>
      </c>
      <c r="J21" s="111">
        <f>CEILING(F18/2, 0.5)</f>
        <v>7.5</v>
      </c>
      <c r="K21" s="96">
        <f>J21*C10</f>
        <v>693615</v>
      </c>
      <c r="L21" s="5"/>
      <c r="M21" s="20"/>
      <c r="N21" s="20"/>
      <c r="O21" s="20"/>
      <c r="P21" s="6"/>
      <c r="Q21" s="6"/>
      <c r="R21" s="6"/>
      <c r="S21" s="6"/>
      <c r="T21" s="6"/>
      <c r="U21" s="6"/>
      <c r="V21" s="6"/>
      <c r="W21" s="6"/>
      <c r="X21" s="7"/>
      <c r="Y21" s="7"/>
      <c r="Z21" s="7"/>
    </row>
    <row r="22" ht="18.75" customHeight="1">
      <c r="A22" s="4"/>
      <c r="B22" s="4"/>
      <c r="C22" s="4"/>
      <c r="D22" s="4"/>
      <c r="E22" s="4"/>
      <c r="F22" s="4"/>
      <c r="G22" s="4"/>
      <c r="H22" s="4"/>
      <c r="I22" s="102" t="s">
        <v>25</v>
      </c>
      <c r="J22" s="89">
        <f>CEILING(F18*0.9*0.7, 0.5)</f>
        <v>9.5</v>
      </c>
      <c r="K22" s="103">
        <f>J22*C10</f>
        <v>878579</v>
      </c>
      <c r="L22" s="5"/>
      <c r="M22" s="20"/>
      <c r="N22" s="20"/>
      <c r="O22" s="20"/>
      <c r="P22" s="6"/>
      <c r="Q22" s="6"/>
      <c r="R22" s="6"/>
      <c r="S22" s="6"/>
      <c r="T22" s="6"/>
      <c r="U22" s="6"/>
      <c r="V22" s="6"/>
      <c r="W22" s="6"/>
      <c r="X22" s="7"/>
      <c r="Y22" s="7"/>
      <c r="Z22" s="7"/>
    </row>
    <row r="23" ht="15.75" customHeight="1">
      <c r="A23" s="4"/>
      <c r="B23" s="112">
        <v>1.0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4"/>
      <c r="M23" s="20"/>
      <c r="N23" s="20"/>
      <c r="O23" s="20"/>
      <c r="P23" s="6"/>
      <c r="Q23" s="6"/>
      <c r="R23" s="6"/>
      <c r="S23" s="6"/>
      <c r="T23" s="6"/>
      <c r="U23" s="6"/>
      <c r="V23" s="6"/>
      <c r="W23" s="6"/>
      <c r="X23" s="7"/>
      <c r="Y23" s="7"/>
      <c r="Z23" s="7"/>
    </row>
    <row r="24" ht="14.25" customHeight="1">
      <c r="A24" s="115"/>
      <c r="B24" s="6"/>
      <c r="C24" s="6"/>
      <c r="D24" s="6"/>
      <c r="E24" s="6"/>
      <c r="F24" s="6"/>
      <c r="G24" s="6"/>
      <c r="H24" s="6"/>
      <c r="I24" s="6"/>
      <c r="J24" s="20"/>
      <c r="K24" s="6"/>
      <c r="L24" s="6"/>
      <c r="M24" s="20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7"/>
      <c r="Z24" s="7"/>
    </row>
    <row r="25" ht="14.25" customHeight="1">
      <c r="A25" s="115"/>
      <c r="B25" s="6"/>
      <c r="C25" s="6"/>
      <c r="D25" s="6"/>
      <c r="E25" s="6"/>
      <c r="F25" s="6"/>
      <c r="G25" s="6"/>
      <c r="H25" s="6"/>
      <c r="I25" s="20"/>
      <c r="J25" s="20"/>
      <c r="K25" s="2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7"/>
      <c r="Z25" s="7"/>
    </row>
    <row r="26" ht="14.25" customHeight="1">
      <c r="A26" s="115"/>
      <c r="B26" s="6"/>
      <c r="C26" s="6"/>
      <c r="D26" s="6"/>
      <c r="E26" s="6"/>
      <c r="F26" s="6"/>
      <c r="G26" s="6"/>
      <c r="H26" s="6"/>
      <c r="I26" s="20"/>
      <c r="J26" s="116"/>
      <c r="K26" s="2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"/>
      <c r="Y26" s="7"/>
      <c r="Z26" s="7"/>
    </row>
    <row r="27" ht="14.25" customHeight="1">
      <c r="A27" s="115"/>
      <c r="B27" s="6"/>
      <c r="C27" s="6"/>
      <c r="D27" s="6"/>
      <c r="E27" s="6"/>
      <c r="F27" s="6"/>
      <c r="G27" s="6"/>
      <c r="H27" s="6"/>
      <c r="I27" s="20"/>
      <c r="J27" s="117"/>
      <c r="K27" s="2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"/>
      <c r="Y27" s="7"/>
      <c r="Z27" s="7"/>
    </row>
    <row r="28" ht="14.25" customHeight="1">
      <c r="A28" s="115"/>
      <c r="B28" s="6"/>
      <c r="C28" s="6"/>
      <c r="D28" s="6"/>
      <c r="E28" s="6"/>
      <c r="F28" s="6"/>
      <c r="G28" s="6"/>
      <c r="H28" s="6"/>
      <c r="I28" s="20"/>
      <c r="J28" s="118"/>
      <c r="K28" s="2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"/>
      <c r="Y28" s="7"/>
      <c r="Z28" s="7"/>
    </row>
    <row r="29" ht="14.25" customHeight="1">
      <c r="A29" s="115"/>
      <c r="B29" s="6"/>
      <c r="C29" s="6"/>
      <c r="D29" s="6"/>
      <c r="E29" s="6"/>
      <c r="F29" s="6"/>
      <c r="G29" s="6"/>
      <c r="H29" s="6"/>
      <c r="I29" s="118"/>
      <c r="J29" s="20"/>
      <c r="K29" s="2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  <c r="Y29" s="7"/>
      <c r="Z29" s="7"/>
    </row>
    <row r="30" ht="14.25" customHeight="1">
      <c r="A30" s="115"/>
      <c r="B30" s="6"/>
      <c r="C30" s="6"/>
      <c r="D30" s="6"/>
      <c r="E30" s="6"/>
      <c r="F30" s="6"/>
      <c r="G30" s="6"/>
      <c r="H30" s="6"/>
      <c r="I30" s="20"/>
      <c r="J30" s="2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  <c r="Y30" s="7"/>
      <c r="Z30" s="7"/>
    </row>
    <row r="31" ht="14.25" customHeight="1">
      <c r="A31" s="115"/>
      <c r="B31" s="6"/>
      <c r="C31" s="6"/>
      <c r="D31" s="6"/>
      <c r="E31" s="6"/>
      <c r="F31" s="6"/>
      <c r="G31" s="6"/>
      <c r="H31" s="6"/>
      <c r="I31" s="20"/>
      <c r="J31" s="2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119"/>
      <c r="J33" s="11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119"/>
      <c r="J34" s="11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120"/>
      <c r="G36" s="7"/>
      <c r="H36" s="7"/>
      <c r="I36" s="11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12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12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12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12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12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12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12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12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16">
    <mergeCell ref="A2:I2"/>
    <mergeCell ref="G3:H3"/>
    <mergeCell ref="G5:H5"/>
    <mergeCell ref="B6:G6"/>
    <mergeCell ref="B7:G7"/>
    <mergeCell ref="D8:G8"/>
    <mergeCell ref="D9:F9"/>
    <mergeCell ref="F20:F21"/>
    <mergeCell ref="G20:G21"/>
    <mergeCell ref="B12:G12"/>
    <mergeCell ref="I13:I15"/>
    <mergeCell ref="B15:C15"/>
    <mergeCell ref="B17:G17"/>
    <mergeCell ref="B18:C18"/>
    <mergeCell ref="B20:C21"/>
    <mergeCell ref="D20:D21"/>
  </mergeCells>
  <dataValidations>
    <dataValidation type="decimal" allowBlank="1" showInputMessage="1" showErrorMessage="1" prompt=" - " sqref="D3">
      <formula1>0.0</formula1>
      <formula2>1.0E9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" width="10.71"/>
    <col customWidth="1" min="4" max="4" width="12.29"/>
    <col customWidth="1" min="5" max="5" width="2.71"/>
    <col customWidth="1" min="6" max="6" width="6.43"/>
    <col customWidth="1" min="7" max="7" width="5.71"/>
    <col customWidth="1" min="8" max="8" width="8.0"/>
    <col customWidth="1" min="9" max="9" width="8.29"/>
    <col customWidth="1" min="10" max="11" width="10.71"/>
    <col customWidth="1" min="12" max="12" width="6.0"/>
    <col customWidth="1" min="13" max="17" width="9.14"/>
    <col customWidth="1" min="18" max="26" width="10.0"/>
  </cols>
  <sheetData>
    <row r="1" ht="14.25" customHeight="1">
      <c r="A1" s="122" t="s">
        <v>26</v>
      </c>
      <c r="B1" s="122" t="s">
        <v>27</v>
      </c>
      <c r="C1" s="122" t="s">
        <v>28</v>
      </c>
      <c r="D1" s="122" t="s">
        <v>29</v>
      </c>
      <c r="E1" s="123"/>
      <c r="F1" s="122" t="s">
        <v>26</v>
      </c>
      <c r="G1" s="122" t="s">
        <v>27</v>
      </c>
      <c r="H1" s="122" t="s">
        <v>30</v>
      </c>
      <c r="I1" s="122" t="s">
        <v>31</v>
      </c>
      <c r="J1" s="124" t="s">
        <v>32</v>
      </c>
      <c r="K1" s="125"/>
      <c r="L1" s="122" t="s">
        <v>33</v>
      </c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4.25" customHeight="1">
      <c r="A2" s="126">
        <v>1.0</v>
      </c>
      <c r="B2" s="126">
        <v>43100.0</v>
      </c>
      <c r="C2" s="127">
        <v>1350.0</v>
      </c>
      <c r="D2" s="128" t="s">
        <v>34</v>
      </c>
      <c r="E2" s="129"/>
      <c r="F2" s="130">
        <v>0.0</v>
      </c>
      <c r="G2" s="130">
        <v>15.0</v>
      </c>
      <c r="H2" s="131">
        <v>0.22</v>
      </c>
      <c r="I2" s="132">
        <v>0.33</v>
      </c>
      <c r="J2" s="132"/>
      <c r="K2" s="130"/>
      <c r="L2" s="130" t="s">
        <v>35</v>
      </c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ht="14.25" customHeight="1">
      <c r="A3" s="126">
        <v>43101.0</v>
      </c>
      <c r="B3" s="126">
        <v>43190.0</v>
      </c>
      <c r="C3" s="127">
        <v>1417.0</v>
      </c>
      <c r="D3" s="128" t="s">
        <v>34</v>
      </c>
      <c r="E3" s="129"/>
      <c r="F3" s="130">
        <f t="shared" ref="F3:F8" si="1">+G2+1</f>
        <v>16</v>
      </c>
      <c r="G3" s="130">
        <v>45.0</v>
      </c>
      <c r="H3" s="132">
        <v>0.2</v>
      </c>
      <c r="I3" s="132">
        <v>0.26</v>
      </c>
      <c r="J3" s="132">
        <f t="shared" ref="J3:J8" si="2">+I2</f>
        <v>0.33</v>
      </c>
      <c r="K3" s="130">
        <f t="shared" ref="K3:K8" si="3">+G2</f>
        <v>15</v>
      </c>
      <c r="L3" s="130" t="s">
        <v>36</v>
      </c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14.25" customHeight="1">
      <c r="A4" s="126">
        <v>43191.0</v>
      </c>
      <c r="B4" s="126">
        <v>43312.0</v>
      </c>
      <c r="C4" s="127">
        <v>1559.0</v>
      </c>
      <c r="D4" s="128">
        <v>7499351.31</v>
      </c>
      <c r="E4" s="129"/>
      <c r="F4" s="130">
        <f t="shared" si="1"/>
        <v>46</v>
      </c>
      <c r="G4" s="130">
        <v>90.0</v>
      </c>
      <c r="H4" s="132">
        <v>0.18</v>
      </c>
      <c r="I4" s="132">
        <v>0.24</v>
      </c>
      <c r="J4" s="132">
        <f t="shared" si="2"/>
        <v>0.26</v>
      </c>
      <c r="K4" s="130">
        <f t="shared" si="3"/>
        <v>45</v>
      </c>
      <c r="L4" s="130" t="s">
        <v>37</v>
      </c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ht="14.25" customHeight="1">
      <c r="A5" s="126">
        <v>43313.0</v>
      </c>
      <c r="B5" s="126">
        <v>43373.0</v>
      </c>
      <c r="C5" s="127">
        <v>1715.0</v>
      </c>
      <c r="D5" s="128" t="s">
        <v>34</v>
      </c>
      <c r="E5" s="129"/>
      <c r="F5" s="130">
        <f t="shared" si="1"/>
        <v>91</v>
      </c>
      <c r="G5" s="130">
        <v>150.0</v>
      </c>
      <c r="H5" s="132">
        <v>0.17</v>
      </c>
      <c r="I5" s="132">
        <v>0.22</v>
      </c>
      <c r="J5" s="132">
        <f t="shared" si="2"/>
        <v>0.24</v>
      </c>
      <c r="K5" s="130">
        <f t="shared" si="3"/>
        <v>90</v>
      </c>
      <c r="L5" s="130" t="s">
        <v>38</v>
      </c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ht="14.25" customHeight="1">
      <c r="A6" s="126">
        <v>43374.0</v>
      </c>
      <c r="B6" s="126">
        <v>43524.0</v>
      </c>
      <c r="C6" s="127">
        <v>1887.0</v>
      </c>
      <c r="D6" s="128" t="s">
        <v>39</v>
      </c>
      <c r="E6" s="129"/>
      <c r="F6" s="130">
        <f t="shared" si="1"/>
        <v>151</v>
      </c>
      <c r="G6" s="130">
        <v>450.0</v>
      </c>
      <c r="H6" s="132">
        <v>0.15</v>
      </c>
      <c r="I6" s="132">
        <v>0.2</v>
      </c>
      <c r="J6" s="132">
        <f t="shared" si="2"/>
        <v>0.22</v>
      </c>
      <c r="K6" s="130">
        <f t="shared" si="3"/>
        <v>150</v>
      </c>
      <c r="L6" s="130" t="s">
        <v>40</v>
      </c>
      <c r="M6" s="129"/>
      <c r="N6" s="129"/>
      <c r="O6" s="129"/>
      <c r="P6" s="129"/>
      <c r="Q6" s="133"/>
      <c r="R6" s="129"/>
      <c r="S6" s="129"/>
      <c r="T6" s="129"/>
      <c r="U6" s="129"/>
      <c r="V6" s="129"/>
      <c r="W6" s="129"/>
      <c r="X6" s="129"/>
      <c r="Y6" s="129"/>
      <c r="Z6" s="129"/>
    </row>
    <row r="7" ht="14.25" customHeight="1">
      <c r="A7" s="126">
        <v>43525.0</v>
      </c>
      <c r="B7" s="126">
        <v>43585.0</v>
      </c>
      <c r="C7" s="127">
        <v>2075.0</v>
      </c>
      <c r="D7" s="128" t="s">
        <v>41</v>
      </c>
      <c r="E7" s="129"/>
      <c r="F7" s="130">
        <f t="shared" si="1"/>
        <v>451</v>
      </c>
      <c r="G7" s="130">
        <v>750.0</v>
      </c>
      <c r="H7" s="132">
        <v>0.13</v>
      </c>
      <c r="I7" s="132">
        <v>0.17</v>
      </c>
      <c r="J7" s="132">
        <f t="shared" si="2"/>
        <v>0.2</v>
      </c>
      <c r="K7" s="130">
        <f t="shared" si="3"/>
        <v>450</v>
      </c>
      <c r="L7" s="130" t="s">
        <v>42</v>
      </c>
      <c r="M7" s="129"/>
      <c r="N7" s="129"/>
      <c r="O7" s="129"/>
      <c r="P7" s="129"/>
      <c r="Q7" s="133"/>
      <c r="R7" s="129"/>
      <c r="S7" s="129"/>
      <c r="T7" s="129"/>
      <c r="U7" s="129"/>
      <c r="V7" s="129"/>
      <c r="W7" s="129"/>
      <c r="X7" s="129"/>
      <c r="Y7" s="129"/>
      <c r="Z7" s="129"/>
    </row>
    <row r="8" ht="14.25" customHeight="1">
      <c r="A8" s="126">
        <v>43586.0</v>
      </c>
      <c r="B8" s="126">
        <v>43616.0</v>
      </c>
      <c r="C8" s="127">
        <v>2231.0</v>
      </c>
      <c r="D8" s="128" t="s">
        <v>43</v>
      </c>
      <c r="E8" s="129"/>
      <c r="F8" s="130">
        <f t="shared" si="1"/>
        <v>751</v>
      </c>
      <c r="G8" s="130"/>
      <c r="H8" s="132">
        <v>0.12</v>
      </c>
      <c r="I8" s="132">
        <v>0.15</v>
      </c>
      <c r="J8" s="132">
        <f t="shared" si="2"/>
        <v>0.17</v>
      </c>
      <c r="K8" s="130">
        <f t="shared" si="3"/>
        <v>750</v>
      </c>
      <c r="L8" s="130" t="s">
        <v>44</v>
      </c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14.25" customHeight="1">
      <c r="A9" s="126">
        <v>43617.0</v>
      </c>
      <c r="B9" s="126">
        <v>43708.0</v>
      </c>
      <c r="C9" s="127">
        <v>2398.0</v>
      </c>
      <c r="D9" s="128" t="s">
        <v>43</v>
      </c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ht="14.25" customHeight="1">
      <c r="A10" s="126">
        <v>43709.0</v>
      </c>
      <c r="B10" s="126">
        <v>43769.0</v>
      </c>
      <c r="C10" s="127">
        <v>2638.0</v>
      </c>
      <c r="D10" s="128" t="s">
        <v>45</v>
      </c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ht="14.25" customHeight="1">
      <c r="A11" s="126">
        <v>43770.0</v>
      </c>
      <c r="B11" s="126">
        <v>43799.0</v>
      </c>
      <c r="C11" s="134">
        <v>2902.0</v>
      </c>
      <c r="D11" s="128" t="s">
        <v>46</v>
      </c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ht="14.25" customHeight="1">
      <c r="A12" s="126">
        <v>43800.0</v>
      </c>
      <c r="B12" s="126">
        <v>44104.0</v>
      </c>
      <c r="C12" s="134">
        <v>3192.0</v>
      </c>
      <c r="D12" s="128" t="s">
        <v>47</v>
      </c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 ht="14.25" customHeight="1">
      <c r="A13" s="126">
        <v>44105.0</v>
      </c>
      <c r="B13" s="126">
        <v>44135.0</v>
      </c>
      <c r="C13" s="127">
        <v>3511.0</v>
      </c>
      <c r="D13" s="128" t="s">
        <v>48</v>
      </c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 ht="14.25" customHeight="1">
      <c r="A14" s="126">
        <v>44136.0</v>
      </c>
      <c r="B14" s="126">
        <v>44165.0</v>
      </c>
      <c r="C14" s="127">
        <v>3862.0</v>
      </c>
      <c r="D14" s="128" t="s">
        <v>49</v>
      </c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ht="14.25" customHeight="1">
      <c r="A15" s="126">
        <v>44166.0</v>
      </c>
      <c r="B15" s="126">
        <v>43889.0</v>
      </c>
      <c r="C15" s="127">
        <v>4152.0</v>
      </c>
      <c r="D15" s="128" t="s">
        <v>50</v>
      </c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ht="14.25" customHeight="1">
      <c r="A16" s="126">
        <v>44256.0</v>
      </c>
      <c r="B16" s="126">
        <v>44347.0</v>
      </c>
      <c r="C16" s="127">
        <v>4567.0</v>
      </c>
      <c r="D16" s="128" t="s">
        <v>51</v>
      </c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 ht="14.25" customHeight="1">
      <c r="A17" s="126">
        <v>44348.0</v>
      </c>
      <c r="B17" s="126">
        <v>44439.0</v>
      </c>
      <c r="C17" s="127">
        <v>4978.0</v>
      </c>
      <c r="D17" s="128" t="s">
        <v>51</v>
      </c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 ht="14.25" customHeight="1">
      <c r="A18" s="126">
        <v>44440.0</v>
      </c>
      <c r="B18" s="126">
        <v>44500.0</v>
      </c>
      <c r="C18" s="127">
        <v>6160.0</v>
      </c>
      <c r="D18" s="128" t="s">
        <v>52</v>
      </c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 ht="14.25" customHeight="1">
      <c r="A19" s="126">
        <v>44501.0</v>
      </c>
      <c r="B19" s="126">
        <v>44592.0</v>
      </c>
      <c r="C19" s="127">
        <v>6468.0</v>
      </c>
      <c r="D19" s="128" t="s">
        <v>53</v>
      </c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 ht="14.25" customHeight="1">
      <c r="A20" s="126">
        <v>44593.0</v>
      </c>
      <c r="B20" s="126">
        <v>44651.0</v>
      </c>
      <c r="C20" s="127">
        <v>7439.0</v>
      </c>
      <c r="D20" s="128" t="s">
        <v>54</v>
      </c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 ht="14.25" customHeight="1">
      <c r="A21" s="126">
        <v>44652.0</v>
      </c>
      <c r="B21" s="126">
        <v>44681.0</v>
      </c>
      <c r="C21" s="127">
        <v>8183.0</v>
      </c>
      <c r="D21" s="128" t="s">
        <v>55</v>
      </c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 ht="14.25" customHeight="1">
      <c r="A22" s="126">
        <v>44682.0</v>
      </c>
      <c r="B22" s="126">
        <v>44742.0</v>
      </c>
      <c r="C22" s="127">
        <v>9001.0</v>
      </c>
      <c r="D22" s="128" t="s">
        <v>55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 ht="14.25" customHeight="1">
      <c r="A23" s="126">
        <v>44743.0</v>
      </c>
      <c r="B23" s="126">
        <v>44804.0</v>
      </c>
      <c r="C23" s="127">
        <v>9811.0</v>
      </c>
      <c r="D23" s="128" t="s">
        <v>56</v>
      </c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 ht="14.25" customHeight="1">
      <c r="A24" s="135">
        <v>44805.0</v>
      </c>
      <c r="B24" s="135">
        <v>44895.0</v>
      </c>
      <c r="C24" s="136">
        <v>10400.0</v>
      </c>
      <c r="D24" s="137" t="s">
        <v>56</v>
      </c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 ht="14.25" customHeight="1">
      <c r="A25" s="138">
        <v>44896.0</v>
      </c>
      <c r="B25" s="139">
        <v>44926.0</v>
      </c>
      <c r="C25" s="127">
        <v>12479.0</v>
      </c>
      <c r="D25" s="140" t="s">
        <v>57</v>
      </c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 ht="14.25" customHeight="1">
      <c r="A26" s="141">
        <v>44927.0</v>
      </c>
      <c r="B26" s="142">
        <v>44957.0</v>
      </c>
      <c r="C26" s="143">
        <v>13220.0</v>
      </c>
      <c r="D26" s="144">
        <v>45170.0</v>
      </c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 ht="14.25" customHeight="1">
      <c r="A27" s="141">
        <v>44958.0</v>
      </c>
      <c r="B27" s="142">
        <v>44985.0</v>
      </c>
      <c r="C27" s="143">
        <v>14154.0</v>
      </c>
      <c r="D27" s="144">
        <v>45170.0</v>
      </c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 ht="14.25" customHeight="1">
      <c r="A28" s="138">
        <v>44986.0</v>
      </c>
      <c r="B28" s="139">
        <v>45016.0</v>
      </c>
      <c r="C28" s="127">
        <v>14933.0</v>
      </c>
      <c r="D28" s="140" t="s">
        <v>58</v>
      </c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ht="14.25" customHeight="1">
      <c r="A29" s="138">
        <v>45017.0</v>
      </c>
      <c r="B29" s="139">
        <v>45046.0</v>
      </c>
      <c r="C29" s="127">
        <v>16277.0</v>
      </c>
      <c r="D29" s="140" t="s">
        <v>59</v>
      </c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 ht="14.25" customHeight="1">
      <c r="A30" s="138">
        <v>45047.0</v>
      </c>
      <c r="B30" s="139">
        <v>45077.0</v>
      </c>
      <c r="C30" s="127">
        <v>17741.0</v>
      </c>
      <c r="D30" s="140" t="s">
        <v>59</v>
      </c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 ht="14.25" customHeight="1">
      <c r="A31" s="138">
        <v>45078.0</v>
      </c>
      <c r="B31" s="139">
        <v>45107.0</v>
      </c>
      <c r="C31" s="127">
        <v>19338.0</v>
      </c>
      <c r="D31" s="140" t="s">
        <v>59</v>
      </c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ht="14.25" customHeight="1">
      <c r="A32" s="138">
        <v>45108.0</v>
      </c>
      <c r="B32" s="139">
        <v>45138.0</v>
      </c>
      <c r="C32" s="127">
        <v>20595.0</v>
      </c>
      <c r="D32" s="140" t="s">
        <v>60</v>
      </c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ht="14.25" customHeight="1">
      <c r="A33" s="138">
        <v>45139.0</v>
      </c>
      <c r="B33" s="139">
        <v>45138.0</v>
      </c>
      <c r="C33" s="127">
        <v>23067.0</v>
      </c>
      <c r="D33" s="140" t="s">
        <v>61</v>
      </c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ht="14.25" customHeight="1">
      <c r="A34" s="138">
        <v>45170.0</v>
      </c>
      <c r="B34" s="139">
        <v>45199.0</v>
      </c>
      <c r="C34" s="127">
        <v>25373.0</v>
      </c>
      <c r="D34" s="140" t="s">
        <v>61</v>
      </c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ht="14.25" customHeight="1">
      <c r="A35" s="138">
        <v>45200.0</v>
      </c>
      <c r="B35" s="139">
        <v>45229.0</v>
      </c>
      <c r="C35" s="127">
        <v>27784.0</v>
      </c>
      <c r="D35" s="140" t="s">
        <v>62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ht="14.25" customHeight="1">
      <c r="A36" s="138">
        <v>45231.0</v>
      </c>
      <c r="B36" s="139">
        <v>45260.0</v>
      </c>
      <c r="C36" s="127">
        <v>30562.0</v>
      </c>
      <c r="D36" s="140" t="s">
        <v>62</v>
      </c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4.25" customHeight="1">
      <c r="A37" s="138">
        <v>45261.0</v>
      </c>
      <c r="B37" s="139">
        <v>45291.0</v>
      </c>
      <c r="C37" s="127">
        <v>34382.0</v>
      </c>
      <c r="D37" s="140" t="s">
        <v>63</v>
      </c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4.25" customHeight="1">
      <c r="A38" s="145">
        <v>45292.0</v>
      </c>
      <c r="B38" s="145">
        <v>45322.0</v>
      </c>
      <c r="C38" s="134">
        <v>40571.0</v>
      </c>
      <c r="D38" s="146" t="s">
        <v>64</v>
      </c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4.25" customHeight="1">
      <c r="A39" s="145">
        <v>45323.0</v>
      </c>
      <c r="B39" s="145">
        <v>45351.0</v>
      </c>
      <c r="C39" s="134">
        <v>45440.0</v>
      </c>
      <c r="D39" s="146" t="s">
        <v>65</v>
      </c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4.25" customHeight="1">
      <c r="A40" s="147">
        <v>45352.0</v>
      </c>
      <c r="B40" s="148">
        <v>45382.0</v>
      </c>
      <c r="C40" s="149">
        <v>49075.0</v>
      </c>
      <c r="D40" s="150" t="s">
        <v>66</v>
      </c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4.25" customHeight="1">
      <c r="A41" s="151">
        <v>45383.0</v>
      </c>
      <c r="B41" s="152">
        <v>45412.0</v>
      </c>
      <c r="C41" s="134">
        <v>52510.0</v>
      </c>
      <c r="D41" s="146" t="s">
        <v>67</v>
      </c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4.25" customHeight="1">
      <c r="A42" s="152">
        <v>45413.0</v>
      </c>
      <c r="B42" s="152">
        <v>45443.0</v>
      </c>
      <c r="C42" s="134">
        <v>54716.0</v>
      </c>
      <c r="D42" s="146" t="s">
        <v>68</v>
      </c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4.25" customHeight="1">
      <c r="A43" s="152">
        <v>45444.0</v>
      </c>
      <c r="B43" s="152">
        <v>45473.0</v>
      </c>
      <c r="C43" s="134">
        <v>57016.0</v>
      </c>
      <c r="D43" s="146" t="s">
        <v>68</v>
      </c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4.25" customHeight="1">
      <c r="A44" s="148">
        <v>45474.0</v>
      </c>
      <c r="B44" s="148">
        <v>45504.0</v>
      </c>
      <c r="C44" s="149">
        <v>59009.0</v>
      </c>
      <c r="D44" s="150" t="s">
        <v>69</v>
      </c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4.25" customHeight="1">
      <c r="A45" s="148">
        <v>45505.0</v>
      </c>
      <c r="B45" s="148">
        <v>45535.0</v>
      </c>
      <c r="C45" s="149">
        <v>60779.0</v>
      </c>
      <c r="D45" s="150" t="s">
        <v>69</v>
      </c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4.25" customHeight="1">
      <c r="A46" s="148">
        <v>45536.0</v>
      </c>
      <c r="B46" s="148">
        <v>45565.0</v>
      </c>
      <c r="C46" s="149">
        <v>61995.0</v>
      </c>
      <c r="D46" s="150" t="s">
        <v>70</v>
      </c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4.25" customHeight="1">
      <c r="A47" s="148">
        <v>45566.0</v>
      </c>
      <c r="B47" s="153">
        <v>45596.0</v>
      </c>
      <c r="C47" s="149">
        <v>63545.0</v>
      </c>
      <c r="D47" s="150" t="s">
        <v>71</v>
      </c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4.25" customHeight="1">
      <c r="A48" s="148">
        <v>45597.0</v>
      </c>
      <c r="B48" s="153">
        <v>45626.0</v>
      </c>
      <c r="C48" s="149">
        <v>65133.0</v>
      </c>
      <c r="D48" s="150" t="s">
        <v>71</v>
      </c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4.25" customHeight="1">
      <c r="A49" s="148">
        <v>45627.0</v>
      </c>
      <c r="B49" s="153">
        <v>45657.0</v>
      </c>
      <c r="C49" s="149">
        <v>66436.0</v>
      </c>
      <c r="D49" s="150" t="s">
        <v>71</v>
      </c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4.25" customHeight="1">
      <c r="A50" s="148">
        <v>45658.0</v>
      </c>
      <c r="B50" s="148">
        <v>45688.0</v>
      </c>
      <c r="C50" s="149">
        <v>67632.0</v>
      </c>
      <c r="D50" s="150" t="s">
        <v>72</v>
      </c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4.25" customHeight="1">
      <c r="A51" s="148">
        <v>45689.0</v>
      </c>
      <c r="B51" s="148">
        <v>45716.0</v>
      </c>
      <c r="C51" s="149">
        <v>68985.0</v>
      </c>
      <c r="D51" s="150" t="s">
        <v>73</v>
      </c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4.25" customHeight="1">
      <c r="A52" s="148">
        <v>45717.0</v>
      </c>
      <c r="B52" s="148">
        <v>45747.0</v>
      </c>
      <c r="C52" s="149">
        <v>70709.0</v>
      </c>
      <c r="D52" s="150" t="s">
        <v>74</v>
      </c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4.25" customHeight="1">
      <c r="A53" s="148">
        <v>45748.0</v>
      </c>
      <c r="B53" s="148">
        <v>45777.0</v>
      </c>
      <c r="C53" s="149">
        <v>72265.0</v>
      </c>
      <c r="D53" s="150" t="s">
        <v>75</v>
      </c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4.25" customHeight="1">
      <c r="A54" s="148">
        <v>45778.0</v>
      </c>
      <c r="B54" s="148">
        <v>45808.0</v>
      </c>
      <c r="C54" s="149">
        <v>73204.0</v>
      </c>
      <c r="D54" s="150" t="s">
        <v>76</v>
      </c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4.25" customHeight="1">
      <c r="A55" s="148">
        <v>45809.0</v>
      </c>
      <c r="B55" s="148">
        <v>45838.0</v>
      </c>
      <c r="C55" s="149">
        <v>74376.0</v>
      </c>
      <c r="D55" s="150" t="s">
        <v>77</v>
      </c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4.25" customHeight="1">
      <c r="A56" s="148">
        <v>45839.0</v>
      </c>
      <c r="B56" s="148">
        <v>45869.0</v>
      </c>
      <c r="C56" s="149">
        <v>75789.0</v>
      </c>
      <c r="D56" s="150" t="s">
        <v>78</v>
      </c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4.25" customHeight="1">
      <c r="A57" s="148">
        <v>45870.0</v>
      </c>
      <c r="B57" s="148">
        <v>45900.0</v>
      </c>
      <c r="C57" s="149">
        <v>77229.0</v>
      </c>
      <c r="D57" s="150" t="s">
        <v>79</v>
      </c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4.25" customHeight="1">
      <c r="A58" s="148">
        <v>45901.0</v>
      </c>
      <c r="B58" s="148">
        <v>45930.0</v>
      </c>
      <c r="C58" s="149">
        <v>78850.0</v>
      </c>
      <c r="D58" s="150" t="s">
        <v>80</v>
      </c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4.25" customHeight="1">
      <c r="A59" s="148">
        <v>45931.0</v>
      </c>
      <c r="B59" s="153">
        <v>45961.0</v>
      </c>
      <c r="C59" s="149">
        <v>80664.0</v>
      </c>
      <c r="D59" s="150" t="s">
        <v>81</v>
      </c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4.25" customHeight="1">
      <c r="A60" s="148">
        <v>45962.0</v>
      </c>
      <c r="B60" s="153">
        <v>45991.0</v>
      </c>
      <c r="C60" s="149">
        <v>84963.0</v>
      </c>
      <c r="D60" s="150" t="s">
        <v>82</v>
      </c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4.25" customHeight="1">
      <c r="A61" s="148">
        <v>45992.0</v>
      </c>
      <c r="B61" s="153">
        <v>46022.0</v>
      </c>
      <c r="C61" s="149">
        <v>87342.0</v>
      </c>
      <c r="D61" s="150" t="s">
        <v>83</v>
      </c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4.25" customHeight="1">
      <c r="A62" s="148">
        <v>46023.0</v>
      </c>
      <c r="B62" s="148">
        <v>46053.0</v>
      </c>
      <c r="C62" s="149">
        <v>89875.0</v>
      </c>
      <c r="D62" s="150" t="s">
        <v>84</v>
      </c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4.25" customHeight="1">
      <c r="A63" s="148">
        <v>46054.0</v>
      </c>
      <c r="B63" s="154">
        <f>TODAY()</f>
        <v>46156</v>
      </c>
      <c r="C63" s="149">
        <v>92482.0</v>
      </c>
      <c r="D63" s="150" t="s">
        <v>85</v>
      </c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4.25" customHeight="1">
      <c r="A64" s="129"/>
      <c r="B64" s="129"/>
      <c r="C64" s="155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4.25" customHeight="1">
      <c r="A65" s="129"/>
      <c r="B65" s="129"/>
      <c r="C65" s="155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4.25" customHeight="1">
      <c r="A66" s="129"/>
      <c r="B66" s="129"/>
      <c r="C66" s="155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4.2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4.2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4.2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4.2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4.2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4.2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4.2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4.2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4.2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4.2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4.2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4.2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4.2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4.2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4.2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4.2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4.2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4.2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4.2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4.2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4.2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4.2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4.2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4.2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4.2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4.2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4.2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4.2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4.2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4.2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4.2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4.2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4.2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4.2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4.2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4.2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4.2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4.2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4.2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4.2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4.2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4.2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4.2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4.2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4.2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4.2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4.2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4.2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4.2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4.2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4.2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4.2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4.2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4.2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4.2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4.2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4.2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4.2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4.2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4.2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4.2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4.2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4.2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4.2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4.2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4.2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4.2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4.2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4.2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4.2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4.2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4.2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4.2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4.2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4.2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4.2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4.2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4.2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4.2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4.2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4.2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4.2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4.2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4.2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4.2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4.2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4.2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4.2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4.2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4.2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4.2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4.2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4.2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4.2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4.2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4.2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4.2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4.2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4.2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4.2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4.2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4.2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4.2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4.2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4.2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4.2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4.2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4.2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4.2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4.2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4.2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4.2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4.2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4.2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4.2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4.2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4.2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4.2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4.2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4.2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4.2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4.2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4.2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4.2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4.2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4.2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4.2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4.2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4.2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4.2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4.2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4.2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4.2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4.2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4.2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4.2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4.2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4.2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4.2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4.2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4.2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4.2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4.2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4.2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4.2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4.2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4.2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4.2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4.2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4.2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4.2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4.2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4.2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4.2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4.2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4.2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4.2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4.2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4.2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4.2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4.2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4.2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4.2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4.2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4.2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4.2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4.2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4.2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4.2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4.2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4.2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4.2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4.2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4.2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4.2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4.2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4.2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4.2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4.2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4.2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4.2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4.2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4.2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4.2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4.2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4.2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4.2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4.2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4.2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4.2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4.2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4.2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4.2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4.2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4.2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4.2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4.2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4.2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4.2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4.2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4.2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4.2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4.2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4.2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4.2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4.2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4.2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4.2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4.2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4.2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4.2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4.2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4.2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4.2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4.2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4.2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4.2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4.2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4.2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4.2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4.2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4.2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4.2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4.2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4.2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4.2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4.2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4.2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4.2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4.2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4.2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4.2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4.2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4.2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4.2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4.2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4.2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4.2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4.2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4.2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4.2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4.2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4.2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4.2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4.2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4.2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4.2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4.2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4.2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4.2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4.2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4.2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4.2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4.2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4.2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4.2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4.2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4.2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4.2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4.2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4.2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4.2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4.2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4.2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4.2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4.2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4.2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4.2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4.2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4.2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4.2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4.2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4.2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4.2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4.2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4.2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4.2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4.2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4.2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4.2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4.2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4.2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4.2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4.2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4.2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4.2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4.2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4.2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4.2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4.2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4.2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4.2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4.2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4.2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4.2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4.2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4.2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4.2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4.2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4.2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4.2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4.2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4.2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4.2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4.2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4.2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4.2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4.2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4.2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4.2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4.2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4.2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4.2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4.2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4.2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4.2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4.2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4.2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4.2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4.2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4.2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4.2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4.2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4.2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4.2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4.2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4.2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4.2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4.2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4.2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4.2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4.2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4.2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4.2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4.2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4.2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4.2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4.2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4.2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4.2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4.2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4.2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4.2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4.2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4.2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4.2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4.2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4.2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4.2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4.2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4.2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4.2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4.2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4.2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4.2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4.2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4.2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4.2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4.2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4.2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4.2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4.2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4.2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4.2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4.2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4.2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4.2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4.2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4.2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4.2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4.2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4.2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4.2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4.2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4.2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4.2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4.2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4.2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4.2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4.2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4.2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4.2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4.2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4.2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4.2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4.2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4.2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4.2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4.2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4.2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4.2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4.2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4.2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4.2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4.2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4.2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4.2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4.2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4.2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4.2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4.2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4.2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4.2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4.2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4.2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4.2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4.2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4.2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4.2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4.2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4.2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4.2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4.2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4.2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4.2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4.2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4.2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4.2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4.2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4.2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4.2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4.2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4.2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4.2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4.2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4.2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4.2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4.2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4.2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4.2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4.2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4.2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4.2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4.2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4.2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4.2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4.2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4.2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4.2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4.2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4.2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4.2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4.2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4.2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4.2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4.2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4.2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4.2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4.2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4.2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4.2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4.2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4.2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4.2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4.2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4.2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4.2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4.2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4.2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4.2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4.2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4.2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4.2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4.2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4.2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4.2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4.2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4.2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4.2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4.2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4.2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4.2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4.2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4.2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4.2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4.2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4.2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4.2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4.2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4.2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4.2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4.2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4.2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4.2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4.2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4.2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4.2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4.2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4.2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4.2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4.2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4.2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4.2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4.2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4.2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4.2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4.2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4.2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4.2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4.2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4.2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4.2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4.2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4.2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4.2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4.2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4.2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4.2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4.2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4.2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4.2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4.2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4.2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4.2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4.2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4.2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4.2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4.2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4.2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4.2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4.2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4.2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4.2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4.2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4.2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4.2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4.2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4.2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4.2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4.2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4.2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4.2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4.2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4.2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4.2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4.2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4.2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4.2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4.2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4.2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4.2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4.2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4.2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4.2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4.2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4.2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4.2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4.2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4.2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4.2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4.2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4.2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4.2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4.2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4.2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4.2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4.2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4.2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4.2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4.2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4.2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4.2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4.2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4.2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4.2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4.2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4.2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4.2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4.2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4.2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4.2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4.2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4.2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4.2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4.2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4.2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4.2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4.2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4.2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4.2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4.2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4.2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4.2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4.2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4.2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4.2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4.2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4.2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4.2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4.2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4.2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4.2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4.2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4.2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4.2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4.2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4.2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4.2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4.2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4.2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4.2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4.2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4.2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4.2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4.2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4.2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4.2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4.2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4.2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4.2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4.2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4.2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4.2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4.2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4.2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4.2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4.2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4.2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4.2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4.2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4.2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4.2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4.2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4.2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4.2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4.2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4.2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4.2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4.2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4.2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4.2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4.2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4.2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4.2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4.2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4.2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4.2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4.2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4.2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4.2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4.2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4.2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4.2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4.2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4.2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4.2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4.2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4.2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4.2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4.2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4.2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4.2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4.2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4.2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4.2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4.2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4.2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4.2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4.2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4.2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4.2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4.2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4.2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4.2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4.2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4.2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4.2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4.2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4.2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4.2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4.2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4.2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4.2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4.2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4.2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4.2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4.2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4.2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4.2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4.2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4.2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4.2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4.2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4.2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4.2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4.2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4.2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4.2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4.2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4.2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4.2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4.2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4.2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4.2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4.2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4.2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4.2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4.2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4.2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4.2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4.2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4.2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4.2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4.2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4.2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4.2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4.2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4.2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4.2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4.2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4.2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4.2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4.2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4.2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4.2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4.2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4.2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4.2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4.2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4.2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4.2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4.2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4.2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4.2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4.2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4.2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4.2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4.2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4.2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4.2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4.2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4.2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4.2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4.2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4.2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4.2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4.2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4.2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4.2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4.2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4.2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4.2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4.2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4.2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4.2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4.2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4.2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4.2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4.2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4.2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4.2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4.2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4.2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4.2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4.2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4.2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4.2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4.2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4.2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4.2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4.2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4.2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4.2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4.2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4.2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4.2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4.2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4.2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4.2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4.2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4.2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4.2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4.2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4.2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4.2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4.2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4.2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4.2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4.2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4.2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4.2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4.2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4.2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4.2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4.2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4.2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4.2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4.2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4.2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4.2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4.2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4.2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4.2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4.2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4.2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4.2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4.2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4.2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4.2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4.2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4.2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4.2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4.2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4.2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4.2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4.2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4.2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4.2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4.2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4.2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4.2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4.2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4.2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4.2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4.2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4.2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4.2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4.2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4.2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4.2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4.2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4.2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4.2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4.2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4.2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4.2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4.2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4.2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4.2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4.2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4.2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4.2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4.2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4.2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4.2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4.2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4.2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4.2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4.2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4.2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4.2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4.2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4.2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4.2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4.2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4.2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4.2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4.2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4.2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4.2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4.2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4.2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4.2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4.2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4.2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4.2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4.2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4.2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4.2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4.2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4.2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4.2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4.2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4.2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4.2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4.2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4.2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4.2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4.2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4.2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4.2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4.2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4.2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4.2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4.2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4.2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4.2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4.2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4.2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4.2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4.2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4.2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4.2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4.2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4.2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4.2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4.2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4.2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4.2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4.2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4.2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4.2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4.2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4.2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4.2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4.2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4.2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4.2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4.2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4.2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4.2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4.2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4.2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4.2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4.2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4.2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4.2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4.2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4.2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4.2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4.2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4.2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4.2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4.2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4.2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4.2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4.2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4.2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4.2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4.2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4.2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4.2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4.2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4.2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4.2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4.2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4.2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4.2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4.2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4.2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4.2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4.2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4.2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4.25" customHeight="1">
      <c r="A1001" s="129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4.25" customHeight="1">
      <c r="A1002" s="129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</sheetData>
  <mergeCells count="1">
    <mergeCell ref="J1:K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4.0"/>
    <col customWidth="1" min="3" max="3" width="16.86"/>
    <col customWidth="1" min="4" max="4" width="21.86"/>
    <col customWidth="1" min="5" max="5" width="30.14"/>
    <col customWidth="1" min="6" max="26" width="10.0"/>
  </cols>
  <sheetData>
    <row r="1" ht="15.0" customHeight="1">
      <c r="A1" s="156" t="s">
        <v>86</v>
      </c>
      <c r="B1" s="157"/>
      <c r="C1" s="157"/>
      <c r="D1" s="157"/>
      <c r="E1" s="125"/>
    </row>
    <row r="2" ht="17.25" customHeight="1">
      <c r="A2" s="158" t="s">
        <v>87</v>
      </c>
      <c r="B2" s="157"/>
      <c r="C2" s="157"/>
      <c r="D2" s="157"/>
      <c r="E2" s="125"/>
    </row>
    <row r="3" ht="17.25" customHeight="1">
      <c r="A3" s="159" t="s">
        <v>88</v>
      </c>
      <c r="B3" s="159" t="s">
        <v>89</v>
      </c>
      <c r="C3" s="160" t="s">
        <v>90</v>
      </c>
      <c r="D3" s="158" t="s">
        <v>91</v>
      </c>
      <c r="E3" s="125"/>
    </row>
    <row r="4" ht="15.75" customHeight="1">
      <c r="A4" s="161"/>
      <c r="B4" s="161"/>
      <c r="C4" s="161"/>
      <c r="D4" s="162" t="s">
        <v>92</v>
      </c>
      <c r="E4" s="162" t="s">
        <v>89</v>
      </c>
    </row>
    <row r="5" ht="8.25" hidden="1" customHeight="1">
      <c r="A5" s="161"/>
      <c r="B5" s="161"/>
      <c r="C5" s="161"/>
      <c r="D5" s="163"/>
      <c r="E5" s="163"/>
    </row>
    <row r="6" ht="3.0" customHeight="1">
      <c r="A6" s="164"/>
      <c r="B6" s="164"/>
      <c r="C6" s="164"/>
      <c r="D6" s="163"/>
      <c r="E6" s="163"/>
    </row>
    <row r="7" ht="23.25" customHeight="1">
      <c r="A7" s="165" t="s">
        <v>93</v>
      </c>
      <c r="B7" s="166">
        <v>43347.0</v>
      </c>
      <c r="C7" s="167">
        <v>1417.0</v>
      </c>
      <c r="D7" s="168">
        <v>43101.0</v>
      </c>
      <c r="E7" s="169">
        <v>43101.0</v>
      </c>
    </row>
    <row r="8" ht="21.75" customHeight="1">
      <c r="A8" s="165" t="s">
        <v>93</v>
      </c>
      <c r="B8" s="166">
        <v>43347.0</v>
      </c>
      <c r="C8" s="167">
        <v>1559.0</v>
      </c>
      <c r="D8" s="168">
        <v>43191.0</v>
      </c>
      <c r="E8" s="169">
        <v>43191.0</v>
      </c>
    </row>
    <row r="9" ht="19.5" customHeight="1">
      <c r="A9" s="165" t="s">
        <v>93</v>
      </c>
      <c r="B9" s="166">
        <v>43347.0</v>
      </c>
      <c r="C9" s="167">
        <v>1715.0</v>
      </c>
      <c r="D9" s="168">
        <v>43313.0</v>
      </c>
      <c r="E9" s="169">
        <v>43313.0</v>
      </c>
    </row>
    <row r="10" ht="23.25" customHeight="1">
      <c r="A10" s="170">
        <v>43525.0</v>
      </c>
      <c r="B10" s="166">
        <v>43499.0</v>
      </c>
      <c r="C10" s="167">
        <v>1887.0</v>
      </c>
      <c r="D10" s="168">
        <v>43374.0</v>
      </c>
      <c r="E10" s="169">
        <v>43374.0</v>
      </c>
    </row>
    <row r="11" ht="21.75" customHeight="1">
      <c r="A11" s="170">
        <v>43678.0</v>
      </c>
      <c r="B11" s="166">
        <v>43570.0</v>
      </c>
      <c r="C11" s="167">
        <v>2075.0</v>
      </c>
      <c r="D11" s="168">
        <v>43525.0</v>
      </c>
      <c r="E11" s="169">
        <v>43525.0</v>
      </c>
    </row>
    <row r="12" ht="17.25" customHeight="1">
      <c r="A12" s="165" t="s">
        <v>43</v>
      </c>
      <c r="B12" s="166">
        <v>43662.0</v>
      </c>
      <c r="C12" s="167">
        <v>2231.0</v>
      </c>
      <c r="D12" s="168">
        <v>43586.0</v>
      </c>
      <c r="E12" s="169">
        <v>43586.0</v>
      </c>
    </row>
    <row r="13" ht="21.75" customHeight="1">
      <c r="A13" s="165" t="s">
        <v>43</v>
      </c>
      <c r="B13" s="166">
        <v>43662.0</v>
      </c>
      <c r="C13" s="167">
        <v>2398.0</v>
      </c>
      <c r="D13" s="168">
        <v>43617.0</v>
      </c>
      <c r="E13" s="169">
        <v>43617.0</v>
      </c>
    </row>
    <row r="14" ht="17.25" customHeight="1">
      <c r="A14" s="165" t="s">
        <v>45</v>
      </c>
      <c r="B14" s="166">
        <v>43767.0</v>
      </c>
      <c r="C14" s="167">
        <v>2638.0</v>
      </c>
      <c r="D14" s="168">
        <v>43709.0</v>
      </c>
      <c r="E14" s="169">
        <v>43709.0</v>
      </c>
    </row>
    <row r="15" ht="17.25" customHeight="1">
      <c r="A15" s="165" t="s">
        <v>46</v>
      </c>
      <c r="B15" s="166">
        <v>43790.0</v>
      </c>
      <c r="C15" s="167">
        <v>2902.0</v>
      </c>
      <c r="D15" s="168">
        <v>43770.0</v>
      </c>
      <c r="E15" s="169">
        <v>43709.0</v>
      </c>
    </row>
    <row r="16" ht="17.25" customHeight="1">
      <c r="A16" s="170">
        <v>43862.0</v>
      </c>
      <c r="B16" s="166">
        <v>43893.0</v>
      </c>
      <c r="C16" s="167">
        <v>3192.0</v>
      </c>
      <c r="D16" s="168">
        <v>43800.0</v>
      </c>
      <c r="E16" s="169">
        <v>43800.0</v>
      </c>
    </row>
    <row r="17" ht="17.25" customHeight="1">
      <c r="A17" s="165" t="s">
        <v>48</v>
      </c>
      <c r="B17" s="166">
        <v>44165.0</v>
      </c>
      <c r="C17" s="167">
        <v>3511.0</v>
      </c>
      <c r="D17" s="168">
        <v>44105.0</v>
      </c>
      <c r="E17" s="169">
        <v>44105.0</v>
      </c>
    </row>
    <row r="18" ht="17.25" customHeight="1">
      <c r="A18" s="170">
        <v>44197.0</v>
      </c>
      <c r="B18" s="166">
        <v>44250.0</v>
      </c>
      <c r="C18" s="167">
        <v>3862.0</v>
      </c>
      <c r="D18" s="168">
        <v>44136.0</v>
      </c>
      <c r="E18" s="169">
        <v>44136.0</v>
      </c>
    </row>
    <row r="19" ht="17.25" customHeight="1">
      <c r="A19" s="170">
        <v>44378.0</v>
      </c>
      <c r="B19" s="166">
        <v>44306.0</v>
      </c>
      <c r="C19" s="167">
        <v>4152.0</v>
      </c>
      <c r="D19" s="168">
        <v>44166.0</v>
      </c>
      <c r="E19" s="169">
        <v>44166.0</v>
      </c>
    </row>
    <row r="20" ht="17.25" customHeight="1">
      <c r="A20" s="170">
        <v>44531.0</v>
      </c>
      <c r="B20" s="166">
        <v>44390.0</v>
      </c>
      <c r="C20" s="167">
        <v>4567.0</v>
      </c>
      <c r="D20" s="168">
        <v>44256.0</v>
      </c>
      <c r="E20" s="169">
        <v>44256.0</v>
      </c>
    </row>
    <row r="21" ht="17.25" customHeight="1">
      <c r="A21" s="170">
        <v>44531.0</v>
      </c>
      <c r="B21" s="166">
        <v>44390.0</v>
      </c>
      <c r="C21" s="167">
        <v>4978.0</v>
      </c>
      <c r="D21" s="168">
        <v>44348.0</v>
      </c>
      <c r="E21" s="169">
        <v>44348.0</v>
      </c>
    </row>
    <row r="22" ht="17.25" customHeight="1">
      <c r="A22" s="165" t="s">
        <v>94</v>
      </c>
      <c r="B22" s="166">
        <v>44470.0</v>
      </c>
      <c r="C22" s="167">
        <v>5476.0</v>
      </c>
      <c r="D22" s="168">
        <v>44378.0</v>
      </c>
      <c r="E22" s="169">
        <v>44378.0</v>
      </c>
    </row>
    <row r="23" ht="17.25" customHeight="1">
      <c r="A23" s="165" t="s">
        <v>94</v>
      </c>
      <c r="B23" s="166">
        <v>44470.0</v>
      </c>
      <c r="C23" s="167">
        <v>6160.0</v>
      </c>
      <c r="D23" s="168">
        <v>44440.0</v>
      </c>
      <c r="E23" s="169">
        <v>44440.0</v>
      </c>
    </row>
    <row r="24" ht="17.25" customHeight="1">
      <c r="A24" s="165" t="s">
        <v>95</v>
      </c>
      <c r="B24" s="166">
        <v>44539.0</v>
      </c>
      <c r="C24" s="167">
        <v>6468.0</v>
      </c>
      <c r="D24" s="168">
        <v>44501.0</v>
      </c>
      <c r="E24" s="169">
        <v>44501.0</v>
      </c>
    </row>
    <row r="25" ht="17.25" customHeight="1">
      <c r="A25" s="170">
        <v>44652.0</v>
      </c>
      <c r="B25" s="166">
        <v>44631.0</v>
      </c>
      <c r="C25" s="167">
        <v>7439.0</v>
      </c>
      <c r="D25" s="168">
        <v>44562.0</v>
      </c>
      <c r="E25" s="169">
        <v>44562.0</v>
      </c>
    </row>
    <row r="26" ht="17.25" customHeight="1">
      <c r="A26" s="170">
        <v>44896.0</v>
      </c>
      <c r="B26" s="166">
        <v>44704.0</v>
      </c>
      <c r="C26" s="167">
        <v>8183.0</v>
      </c>
      <c r="D26" s="168">
        <v>44652.0</v>
      </c>
      <c r="E26" s="169">
        <v>44652.0</v>
      </c>
    </row>
    <row r="27" ht="17.25" customHeight="1">
      <c r="A27" s="170">
        <v>44896.0</v>
      </c>
      <c r="B27" s="166">
        <v>44704.0</v>
      </c>
      <c r="C27" s="167">
        <v>9001.0</v>
      </c>
      <c r="D27" s="168">
        <v>44682.0</v>
      </c>
      <c r="E27" s="169">
        <v>44682.0</v>
      </c>
    </row>
    <row r="28" ht="17.25" customHeight="1">
      <c r="A28" s="165" t="s">
        <v>96</v>
      </c>
      <c r="B28" s="166">
        <v>44812.0</v>
      </c>
      <c r="C28" s="167">
        <v>9811.0</v>
      </c>
      <c r="D28" s="168">
        <v>44743.0</v>
      </c>
      <c r="E28" s="169">
        <v>44743.0</v>
      </c>
    </row>
    <row r="29" ht="17.25" customHeight="1">
      <c r="A29" s="165" t="s">
        <v>96</v>
      </c>
      <c r="B29" s="166">
        <v>44812.0</v>
      </c>
      <c r="C29" s="167">
        <v>10400.0</v>
      </c>
      <c r="D29" s="168">
        <v>44805.0</v>
      </c>
      <c r="E29" s="169">
        <v>44805.0</v>
      </c>
    </row>
    <row r="30" ht="17.25" customHeight="1">
      <c r="A30" s="170">
        <v>44986.0</v>
      </c>
      <c r="B30" s="166">
        <v>44981.0</v>
      </c>
      <c r="C30" s="167">
        <v>12479.0</v>
      </c>
      <c r="D30" s="168">
        <v>44896.0</v>
      </c>
      <c r="E30" s="169">
        <v>44897.0</v>
      </c>
    </row>
    <row r="31" ht="17.25" customHeight="1">
      <c r="A31" s="170">
        <v>45170.0</v>
      </c>
      <c r="B31" s="166">
        <v>45020.0</v>
      </c>
      <c r="C31" s="167">
        <v>13220.0</v>
      </c>
      <c r="D31" s="168">
        <v>44927.0</v>
      </c>
      <c r="E31" s="169">
        <v>44927.0</v>
      </c>
    </row>
    <row r="32" ht="17.25" customHeight="1">
      <c r="A32" s="170">
        <v>45170.0</v>
      </c>
      <c r="B32" s="166">
        <v>45020.0</v>
      </c>
      <c r="C32" s="167">
        <v>14154.0</v>
      </c>
      <c r="D32" s="168">
        <v>44958.0</v>
      </c>
      <c r="E32" s="169">
        <v>44958.0</v>
      </c>
    </row>
    <row r="33" ht="17.25" customHeight="1">
      <c r="A33" s="170">
        <v>45170.0</v>
      </c>
      <c r="B33" s="166">
        <v>45020.0</v>
      </c>
      <c r="C33" s="167">
        <v>14933.0</v>
      </c>
      <c r="D33" s="168">
        <v>44986.0</v>
      </c>
      <c r="E33" s="169">
        <v>44986.0</v>
      </c>
    </row>
    <row r="34" ht="17.25" customHeight="1">
      <c r="A34" s="165" t="s">
        <v>97</v>
      </c>
      <c r="B34" s="166">
        <v>45091.0</v>
      </c>
      <c r="C34" s="167">
        <v>16277.0</v>
      </c>
      <c r="D34" s="168">
        <v>45017.0</v>
      </c>
      <c r="E34" s="169">
        <v>45017.0</v>
      </c>
    </row>
    <row r="35" ht="17.25" customHeight="1">
      <c r="A35" s="165" t="s">
        <v>97</v>
      </c>
      <c r="B35" s="166">
        <v>45091.0</v>
      </c>
      <c r="C35" s="167">
        <v>17741.0</v>
      </c>
      <c r="D35" s="168">
        <v>45047.0</v>
      </c>
      <c r="E35" s="169">
        <v>45047.0</v>
      </c>
    </row>
    <row r="36" ht="17.25" customHeight="1">
      <c r="A36" s="165" t="s">
        <v>97</v>
      </c>
      <c r="B36" s="166">
        <v>45091.0</v>
      </c>
      <c r="C36" s="167">
        <v>19338.0</v>
      </c>
      <c r="D36" s="168">
        <v>45078.0</v>
      </c>
      <c r="E36" s="169">
        <v>45078.0</v>
      </c>
    </row>
    <row r="37" ht="17.25" customHeight="1">
      <c r="A37" s="165" t="s">
        <v>98</v>
      </c>
      <c r="B37" s="166">
        <v>45191.0</v>
      </c>
      <c r="C37" s="167">
        <v>20595.0</v>
      </c>
      <c r="D37" s="168">
        <v>45108.0</v>
      </c>
      <c r="E37" s="169">
        <v>45108.0</v>
      </c>
    </row>
    <row r="38" ht="17.25" customHeight="1">
      <c r="A38" s="165" t="s">
        <v>99</v>
      </c>
      <c r="B38" s="166">
        <v>45211.0</v>
      </c>
      <c r="C38" s="171">
        <v>23067.0</v>
      </c>
      <c r="D38" s="168">
        <v>45139.0</v>
      </c>
      <c r="E38" s="172">
        <v>45139.0</v>
      </c>
    </row>
    <row r="39" ht="17.25" customHeight="1">
      <c r="A39" s="165" t="s">
        <v>100</v>
      </c>
      <c r="B39" s="166">
        <v>45211.0</v>
      </c>
      <c r="C39" s="167">
        <v>25373.0</v>
      </c>
      <c r="D39" s="168">
        <v>45170.0</v>
      </c>
      <c r="E39" s="172">
        <v>45170.0</v>
      </c>
    </row>
    <row r="40" ht="17.25" customHeight="1">
      <c r="A40" s="165" t="s">
        <v>101</v>
      </c>
      <c r="B40" s="166">
        <v>45264.0</v>
      </c>
      <c r="C40" s="171">
        <v>27784.0</v>
      </c>
      <c r="D40" s="168">
        <v>45200.0</v>
      </c>
      <c r="E40" s="172">
        <v>45200.0</v>
      </c>
    </row>
    <row r="41" ht="17.25" customHeight="1">
      <c r="A41" s="165" t="s">
        <v>101</v>
      </c>
      <c r="B41" s="166">
        <v>45264.0</v>
      </c>
      <c r="C41" s="171">
        <v>30562.0</v>
      </c>
      <c r="D41" s="168">
        <v>45231.0</v>
      </c>
      <c r="E41" s="172">
        <v>45231.0</v>
      </c>
    </row>
    <row r="42" ht="17.25" customHeight="1">
      <c r="A42" s="165" t="s">
        <v>102</v>
      </c>
      <c r="B42" s="166">
        <v>45323.0</v>
      </c>
      <c r="C42" s="171">
        <v>34382.0</v>
      </c>
      <c r="D42" s="168">
        <v>45261.0</v>
      </c>
      <c r="E42" s="172">
        <v>45261.0</v>
      </c>
    </row>
    <row r="43" ht="17.25" customHeight="1">
      <c r="A43" s="165" t="s">
        <v>103</v>
      </c>
      <c r="B43" s="166">
        <v>45343.0</v>
      </c>
      <c r="C43" s="171">
        <v>40571.0</v>
      </c>
      <c r="D43" s="168">
        <v>45292.0</v>
      </c>
      <c r="E43" s="169">
        <v>45292.0</v>
      </c>
    </row>
    <row r="44" ht="17.25" customHeight="1">
      <c r="A44" s="165" t="s">
        <v>104</v>
      </c>
      <c r="B44" s="166">
        <v>45386.0</v>
      </c>
      <c r="C44" s="171">
        <v>45440.0</v>
      </c>
      <c r="D44" s="168">
        <v>45323.0</v>
      </c>
      <c r="E44" s="169">
        <v>45323.0</v>
      </c>
    </row>
    <row r="45" ht="17.25" customHeight="1"/>
    <row r="46" ht="14.25" customHeight="1"/>
    <row r="47" ht="14.25" customHeight="1"/>
    <row r="48" ht="17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E1"/>
    <mergeCell ref="A2:E2"/>
    <mergeCell ref="A3:A6"/>
    <mergeCell ref="B3:B6"/>
    <mergeCell ref="C3:C6"/>
    <mergeCell ref="D3:E3"/>
  </mergeCells>
  <hyperlinks>
    <hyperlink r:id="rId1" ref="A7"/>
    <hyperlink r:id="rId2" ref="A8"/>
    <hyperlink r:id="rId3" ref="A9"/>
    <hyperlink r:id="rId4" ref="A10"/>
    <hyperlink r:id="rId5" ref="A11"/>
    <hyperlink r:id="rId6" ref="A12"/>
    <hyperlink r:id="rId7" ref="A13"/>
    <hyperlink r:id="rId8" ref="A14"/>
    <hyperlink r:id="rId9" ref="A15"/>
    <hyperlink r:id="rId10" ref="A16"/>
    <hyperlink r:id="rId11" ref="A17"/>
    <hyperlink r:id="rId12" ref="A18"/>
    <hyperlink r:id="rId13" ref="A19"/>
    <hyperlink r:id="rId14" ref="A20"/>
    <hyperlink r:id="rId15" ref="A21"/>
    <hyperlink r:id="rId16" ref="A22"/>
    <hyperlink r:id="rId17" ref="A23"/>
    <hyperlink r:id="rId18" ref="A24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ref="A36"/>
    <hyperlink r:id="rId31" ref="A37"/>
    <hyperlink r:id="rId32" ref="A38"/>
    <hyperlink r:id="rId33" ref="A39"/>
    <hyperlink r:id="rId34" ref="A40"/>
    <hyperlink r:id="rId35" ref="A41"/>
    <hyperlink r:id="rId36" ref="A42"/>
    <hyperlink r:id="rId37" ref="A43"/>
    <hyperlink r:id="rId38" ref="A44"/>
  </hyperlinks>
  <printOptions/>
  <pageMargins bottom="0.75" footer="0.0" header="0.0" left="0.7" right="0.7" top="0.75"/>
  <pageSetup orientation="landscape"/>
  <drawing r:id="rId3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2019-11-08T13:02:31Z</dcterms:created>
  <dc:creator>Federico Percovich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